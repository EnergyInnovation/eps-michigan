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74A4DF99-B950-4125-9B93-7C3C153FE0A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<sst xmlns="http://schemas.openxmlformats.org/spreadsheetml/2006/main" count="859" uniqueCount="430">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</sst>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68</v>
      </c>
      <c r="C1" t="s">
        <v>2</v>
      </c>
      <c r="K1" t="s">
        <v>3</v>
      </c>
      <c r="L1" t="s">
        <v>4</v>
      </c>
    </row>
    <row r="2" spans="1:12" x14ac:dyDescent="0.45">
      <c r="A2" s="3" t="s">
        <v>5</v>
      </c>
      <c r="B2" s="4" t="str">
        <f>INDEX(L1:L48,MATCH(B1,K1:K48,0))</f>
        <v>MI</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5726.5</v>
      </c>
      <c r="C118" s="10">
        <f t="shared" ref="C118:C141" si="1">IF(B118&gt;0,1,0)</f>
        <v>1</v>
      </c>
    </row>
    <row r="119" spans="1:25" x14ac:dyDescent="0.45">
      <c r="A119" t="s">
        <v>165</v>
      </c>
      <c r="B119" s="8">
        <f>INDEX($C$64:$C$111,MATCH(About!$B$2,$A$64:$A$111,0))</f>
        <v>2027.3</v>
      </c>
      <c r="C119" s="10">
        <f t="shared" si="1"/>
        <v>1</v>
      </c>
    </row>
    <row r="120" spans="1:25" x14ac:dyDescent="0.45">
      <c r="A120" t="s">
        <v>167</v>
      </c>
      <c r="B120" s="8">
        <f>INDEX($D$64:$D$111,MATCH(About!$B$2,$A$64:$A$111,0))</f>
        <v>7622.6</v>
      </c>
      <c r="C120" s="10">
        <f t="shared" si="1"/>
        <v>1</v>
      </c>
    </row>
    <row r="121" spans="1:25" x14ac:dyDescent="0.45">
      <c r="A121" t="s">
        <v>169</v>
      </c>
      <c r="B121" s="8">
        <f>INDEX($E$64:$E$111,MATCH(About!$B$2,$A$64:$A$111,0))</f>
        <v>4086.5</v>
      </c>
      <c r="C121" s="10">
        <f t="shared" si="1"/>
        <v>1</v>
      </c>
    </row>
    <row r="122" spans="1:25" x14ac:dyDescent="0.45">
      <c r="A122" t="s">
        <v>171</v>
      </c>
      <c r="B122" s="8">
        <f>INDEX($F$64:$F$111,MATCH(About!$B$2,$A$64:$A$111,0))</f>
        <v>261.60000000000002</v>
      </c>
      <c r="C122" s="10">
        <f t="shared" si="1"/>
        <v>1</v>
      </c>
    </row>
    <row r="123" spans="1:25" x14ac:dyDescent="0.45">
      <c r="A123" t="s">
        <v>173</v>
      </c>
      <c r="B123" s="8">
        <f>INDEX($G$64:$G$111,MATCH(About!$B$2,$A$64:$A$111,0))</f>
        <v>3774.3</v>
      </c>
      <c r="C123" s="10">
        <f t="shared" si="1"/>
        <v>1</v>
      </c>
    </row>
    <row r="124" spans="1:25" x14ac:dyDescent="0.45">
      <c r="A124" t="s">
        <v>175</v>
      </c>
      <c r="B124" s="8">
        <f>INDEX($H$64:$H$111,MATCH(About!$B$2,$A$64:$A$111,0))</f>
        <v>1157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303.60000000000008</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373.9</v>
      </c>
      <c r="C128" s="10">
        <f t="shared" si="1"/>
        <v>1</v>
      </c>
    </row>
    <row r="129" spans="1:3" x14ac:dyDescent="0.45">
      <c r="A129" t="s">
        <v>182</v>
      </c>
      <c r="B129" s="8">
        <f>INDEX($M$64:$M$111,MATCH(About!$B$2,$A$64:$A$111,0))</f>
        <v>3855.6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519.40000000000009</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0.48660100000000001</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