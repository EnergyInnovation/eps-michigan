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I\trans\BCDTRtSY\"/>
    </mc:Choice>
  </mc:AlternateContent>
  <xr:revisionPtr revIDLastSave="0" documentId="8_{771B6D9A-918B-42A7-86CF-8966E4F0C9D6}"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<sst xmlns="http://schemas.openxmlformats.org/spreadsheetml/2006/main" count="6428" uniqueCount="3038">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</sst>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2907</v>
      </c>
      <c r="C1" s="77">
        <v>46248</v>
      </c>
      <c r="H1" t="s">
        <v>2981</v>
      </c>
      <c r="I1" t="s">
        <v>2982</v>
      </c>
    </row>
    <row r="2" spans="1:9">
      <c r="B2" t="str">
        <f>VLOOKUP(B1,H2:I52,2)</f>
        <v>MI</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Michigan</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1.0044949247403956</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1.0104079976466875</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1.0132467607818962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1.0156812682900083</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1.0173826024181658</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1.0155870038049226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1.0139534836171726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1.0109520696396013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1.0085460478995587</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1.0053225652778182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1.0027866279399569</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1.0006742973079803</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0.99861872508854543</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0.99599051348654466</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0.99356079913194517</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0.99009180584941414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0.98651053088306095</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0.98261696655801467</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0.97894298647931244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0.97506990652003223</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0.97095629030084907</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0.96612642147823924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0.96142897653430437</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0.95653412293551232</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0.95201692398995141</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1.0162845609055593</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1.0267484802621136</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1.0337390797286008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1.0395104423898931</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1.0438768568757955</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1.0436161283267433</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1.0429310353248498</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1.0427114186707287</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1.0420254039620571</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1.041646201414449</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1.040504735053595</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1.0394853648534779</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1.0379838134808508</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1.0364612632866275</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1.0348883300689042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1.0323389586027258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1.0297418175677509</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1.0268301031725493</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1.0238065349046381</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1.0206794216008119</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1.0171984205665576</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1.0136177602268299</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1.0096958898078858</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1.0056221462866519</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1.0014931790471531</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1.0296805956873563</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1.0467341022794343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1.0530160660691754</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1.0640844523451312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1.0792370185226106</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1.090278340408027</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1.1055198059432547</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1.122480058115177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1.1415883798627442</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1.1630083860442502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1.177531021712179</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1.1919986769307445</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1.2061017018188318</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1.2191356864599392</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1.2324820268496808</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1.2440984072156285</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1.2566137566490208</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1.2702424125102894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1.2836509212993334</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1.297040135464272</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1.3093456383729118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1.3197026429094685</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1.3301073614316496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1.3394204124979998</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1.3490696995238234</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1.0619888752627327</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1.1074802416263139</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1.1413809771527952</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1.1704148532622702</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1.1947894539869286</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1.2113429224995171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1.2255927889282381</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1.2405575765880403</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1.2504649462699553</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1.2602465174025139</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1.2663426101664932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1.2732106419977938</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1.2787644067261357</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1.2816799590411974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1.2848955458691298</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1.2863214229486617</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1.2877297668427172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1.2876372814776771</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1.2882747029777575</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1.2894858774072324</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1.2891449048898589</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1.2894434391507874</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1.2875869321471345</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1.2853354737639942</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1.2827924936700494</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1.0003218624491006</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0.99359154094947444</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0.98095816498545096</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0.97079395987275818</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0.96293767018994891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0.95189462425085214</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0.94322056773023832</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0.93577199492864038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0.92957690508296131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0.92467440702610915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0.91693323588791786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0.90927798190099296</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0.90151496991771118</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0.89373486019937642</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0.88609290994923351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0.87758188304464868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0.86952003560697944</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0.8617812354992348</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0.85408748353134534</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0.84640828479669916</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0.83834192299561505</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0.82972843427514831</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0.82103964321090972</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0.8120642023633583</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0.80339201282889827</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1.0042596693880923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1.0107038187849611</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1.0142149177170776</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1.0175191286499152</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1.01980039304905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1.0192292228671311</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1.0186998579135895</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1.0166589076292782</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1.0149702874872544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1.0123996240136737</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1.0106166331129531</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1.009270144129917</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1.0078943582955606</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1.0058246890478264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1.0039783337959252</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1.001355119342181</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0.99847815533590356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0.99538258320096085</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0.99260583676091796</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0.9897055720166319</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0.98637424371875004</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0.98236700610719951</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0.97832191046504069</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0.97414350875391564</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0.97034337268465021</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0.99447323244786945</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0.99441632785090039</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0.99399940642369389</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0.99475485725482404</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1.0002690240882726</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1.0014863218372381</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1.0044695444600089</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1.0061562610329879</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1.0097308292124691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1.0139773464673341</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1.0185307983635374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1.0242898200977986</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1.0312146633762629</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1.0384550400846548</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1.0461511409609752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1.0525930690259295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1.0583927078313986</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1.0616840151119962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1.0646842355322512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1.0689493725976205</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1.0736193990908458</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1.0788952218400367</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1.0829196669824515</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1.0876384647760555</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1.0916027182963366</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1.0090936727899402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1.0223947741875903</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1.0348054938453926</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1.0446075852192709</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1.0567507404694128</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1.0613825427234187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1.0668813110250093</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1.0701796765380127</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1.0746857264821603</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1.0790236995441125</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1.0825432919525628</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1.0853524514439716</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1.0871523384475479</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1.0883801315062822</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1.0897638064105997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1.090616634187453</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1.0909344065877866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1.090255102767018</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1.0898623729857966</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1.0912386734007269</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1.0927863928300887</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1.0942142272883122</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1.093606445388535</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1.0929100305387596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1.0916679383491696</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1.0251373379091933</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1.0424655545004833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1.053318173277765</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1.0678260998028819</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1.0852633024114759</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1.0990915908023309</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1.1158874509853918</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1.1340022850970313</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1.1537239325258575</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1.1751494585215305</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1.1920395603786926</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1.2089890154297254</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1.2257789436677153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1.2419137861028042</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1.2583526790062689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1.2735551352607672</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1.2894319223437651</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1.3061367935163115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1.3227530535963534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1.3394156057933022</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1.3553872402037865</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1.370055055932188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1.3848170046693986</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1.3988750718266849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1.4132472122214428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0.97565971217242053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1.005452313707244</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0.98321389483340527</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0.97385873290226455</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0.97875060293455463</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0.94936862910561692</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0.94907879804324169</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0.94892476344383447</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0.94200050435483718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0.94085635250955824</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0.93887820693868262</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0.93823255007190587</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0.93443531244857325</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0.93215574248954269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0.92893735067147853</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0.92375495912448369</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0.91659071333230968</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0.910065943358356</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0.9058915695507469</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0.9011752587644104</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0.89881610691725111</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0.89985668270644514</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0.89845515917887375</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0.89167058323080151</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0.88553148484341837</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0.99050653737741512</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1.0079606488549131</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1.0273791158385672</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1.0433945735155992</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1.0602814808934056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1.0725828974959362</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1.086782463637225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1.1011336752823053</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1.1160505941860901</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1.1318071990079037</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1.1435184860793035</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1.1518779307608795</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1.1601386450567313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1.1671752600882703</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1.1742106394065823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1.1805098220062367</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1.1877323417807273</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1.1944613072010817</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1.2009582690810885</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1.2086329843718342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1.2163529105437614</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1.224149289988447</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1.2311302130909798</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1.2377310200377567</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1.2455597802572576</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1.0044949247403956</v>
      </c>
      <c r="E2">
        <f>'BCDTRtSY-state-adjusted'!E5</f>
        <v>1.0104079976466875</v>
      </c>
      <c r="F2">
        <f>'BCDTRtSY-state-adjusted'!F5</f>
        <v>1.0132467607818962</v>
      </c>
      <c r="G2">
        <f>'BCDTRtSY-state-adjusted'!G5</f>
        <v>1.0156812682900083</v>
      </c>
      <c r="H2">
        <f>'BCDTRtSY-state-adjusted'!H5</f>
        <v>1.0173826024181658</v>
      </c>
      <c r="I2">
        <f>'BCDTRtSY-state-adjusted'!I5</f>
        <v>1.0155870038049226</v>
      </c>
      <c r="J2">
        <f>'BCDTRtSY-state-adjusted'!J5</f>
        <v>1.0139534836171726</v>
      </c>
      <c r="K2">
        <f>'BCDTRtSY-state-adjusted'!K5</f>
        <v>1.0109520696396013</v>
      </c>
      <c r="L2">
        <f>'BCDTRtSY-state-adjusted'!L5</f>
        <v>1.0085460478995587</v>
      </c>
      <c r="M2">
        <f>'BCDTRtSY-state-adjusted'!M5</f>
        <v>1.0053225652778182</v>
      </c>
      <c r="N2">
        <f>'BCDTRtSY-state-adjusted'!N5</f>
        <v>1.0027866279399569</v>
      </c>
      <c r="O2">
        <f>'BCDTRtSY-state-adjusted'!O5</f>
        <v>1.0006742973079803</v>
      </c>
      <c r="P2">
        <f>'BCDTRtSY-state-adjusted'!P5</f>
        <v>0.99861872508854543</v>
      </c>
      <c r="Q2">
        <f>'BCDTRtSY-state-adjusted'!Q5</f>
        <v>0.99599051348654466</v>
      </c>
      <c r="R2">
        <f>'BCDTRtSY-state-adjusted'!R5</f>
        <v>0.99356079913194517</v>
      </c>
      <c r="S2">
        <f>'BCDTRtSY-state-adjusted'!S5</f>
        <v>0.99009180584941414</v>
      </c>
      <c r="T2">
        <f>'BCDTRtSY-state-adjusted'!T5</f>
        <v>0.98651053088306095</v>
      </c>
      <c r="U2">
        <f>'BCDTRtSY-state-adjusted'!U5</f>
        <v>0.98261696655801467</v>
      </c>
      <c r="V2">
        <f>'BCDTRtSY-state-adjusted'!V5</f>
        <v>0.97894298647931244</v>
      </c>
      <c r="W2">
        <f>'BCDTRtSY-state-adjusted'!W5</f>
        <v>0.97506990652003223</v>
      </c>
      <c r="X2">
        <f>'BCDTRtSY-state-adjusted'!X5</f>
        <v>0.97095629030084907</v>
      </c>
      <c r="Y2">
        <f>'BCDTRtSY-state-adjusted'!Y5</f>
        <v>0.96612642147823924</v>
      </c>
      <c r="Z2">
        <f>'BCDTRtSY-state-adjusted'!Z5</f>
        <v>0.96142897653430437</v>
      </c>
      <c r="AA2">
        <f>'BCDTRtSY-state-adjusted'!AA5</f>
        <v>0.95653412293551232</v>
      </c>
      <c r="AB2">
        <f>'BCDTRtSY-state-adjusted'!AB5</f>
        <v>0.95201692398995141</v>
      </c>
    </row>
    <row r="3" spans="1:28">
      <c r="A3" t="s">
        <v>118</v>
      </c>
      <c r="B3">
        <f>'BCDTRtSY-state-adjusted'!B6</f>
        <v>1</v>
      </c>
      <c r="C3">
        <f>'BCDTRtSY-state-adjusted'!C6</f>
        <v>1</v>
      </c>
      <c r="D3">
        <f>'BCDTRtSY-state-adjusted'!D6</f>
        <v>1.0162845609055593</v>
      </c>
      <c r="E3">
        <f>'BCDTRtSY-state-adjusted'!E6</f>
        <v>1.0267484802621136</v>
      </c>
      <c r="F3">
        <f>'BCDTRtSY-state-adjusted'!F6</f>
        <v>1.0337390797286008</v>
      </c>
      <c r="G3">
        <f>'BCDTRtSY-state-adjusted'!G6</f>
        <v>1.0395104423898931</v>
      </c>
      <c r="H3">
        <f>'BCDTRtSY-state-adjusted'!H6</f>
        <v>1.0438768568757955</v>
      </c>
      <c r="I3">
        <f>'BCDTRtSY-state-adjusted'!I6</f>
        <v>1.0436161283267433</v>
      </c>
      <c r="J3">
        <f>'BCDTRtSY-state-adjusted'!J6</f>
        <v>1.0429310353248498</v>
      </c>
      <c r="K3">
        <f>'BCDTRtSY-state-adjusted'!K6</f>
        <v>1.0427114186707287</v>
      </c>
      <c r="L3">
        <f>'BCDTRtSY-state-adjusted'!L6</f>
        <v>1.0420254039620571</v>
      </c>
      <c r="M3">
        <f>'BCDTRtSY-state-adjusted'!M6</f>
        <v>1.041646201414449</v>
      </c>
      <c r="N3">
        <f>'BCDTRtSY-state-adjusted'!N6</f>
        <v>1.040504735053595</v>
      </c>
      <c r="O3">
        <f>'BCDTRtSY-state-adjusted'!O6</f>
        <v>1.0394853648534779</v>
      </c>
      <c r="P3">
        <f>'BCDTRtSY-state-adjusted'!P6</f>
        <v>1.0379838134808508</v>
      </c>
      <c r="Q3">
        <f>'BCDTRtSY-state-adjusted'!Q6</f>
        <v>1.0364612632866275</v>
      </c>
      <c r="R3">
        <f>'BCDTRtSY-state-adjusted'!R6</f>
        <v>1.0348883300689042</v>
      </c>
      <c r="S3">
        <f>'BCDTRtSY-state-adjusted'!S6</f>
        <v>1.0323389586027258</v>
      </c>
      <c r="T3">
        <f>'BCDTRtSY-state-adjusted'!T6</f>
        <v>1.0297418175677509</v>
      </c>
      <c r="U3">
        <f>'BCDTRtSY-state-adjusted'!U6</f>
        <v>1.0268301031725493</v>
      </c>
      <c r="V3">
        <f>'BCDTRtSY-state-adjusted'!V6</f>
        <v>1.0238065349046381</v>
      </c>
      <c r="W3">
        <f>'BCDTRtSY-state-adjusted'!W6</f>
        <v>1.0206794216008119</v>
      </c>
      <c r="X3">
        <f>'BCDTRtSY-state-adjusted'!X6</f>
        <v>1.0171984205665576</v>
      </c>
      <c r="Y3">
        <f>'BCDTRtSY-state-adjusted'!Y6</f>
        <v>1.0136177602268299</v>
      </c>
      <c r="Z3">
        <f>'BCDTRtSY-state-adjusted'!Z6</f>
        <v>1.0096958898078858</v>
      </c>
      <c r="AA3">
        <f>'BCDTRtSY-state-adjusted'!AA6</f>
        <v>1.0056221462866519</v>
      </c>
      <c r="AB3">
        <f>'BCDTRtSY-state-adjusted'!AB6</f>
        <v>1.0014931790471531</v>
      </c>
    </row>
    <row r="4" spans="1:28">
      <c r="A4" t="s">
        <v>116</v>
      </c>
      <c r="B4">
        <f>'BCDTRtSY-state-adjusted'!B7</f>
        <v>1</v>
      </c>
      <c r="C4">
        <f>'BCDTRtSY-state-adjusted'!C7</f>
        <v>1</v>
      </c>
      <c r="D4">
        <f>'BCDTRtSY-state-adjusted'!D7</f>
        <v>1.0296805956873563</v>
      </c>
      <c r="E4">
        <f>'BCDTRtSY-state-adjusted'!E7</f>
        <v>1.0467341022794343</v>
      </c>
      <c r="F4">
        <f>'BCDTRtSY-state-adjusted'!F7</f>
        <v>1.0530160660691754</v>
      </c>
      <c r="G4">
        <f>'BCDTRtSY-state-adjusted'!G7</f>
        <v>1.0640844523451312</v>
      </c>
      <c r="H4">
        <f>'BCDTRtSY-state-adjusted'!H7</f>
        <v>1.0792370185226106</v>
      </c>
      <c r="I4">
        <f>'BCDTRtSY-state-adjusted'!I7</f>
        <v>1.090278340408027</v>
      </c>
      <c r="J4">
        <f>'BCDTRtSY-state-adjusted'!J7</f>
        <v>1.1055198059432547</v>
      </c>
      <c r="K4">
        <f>'BCDTRtSY-state-adjusted'!K7</f>
        <v>1.122480058115177</v>
      </c>
      <c r="L4">
        <f>'BCDTRtSY-state-adjusted'!L7</f>
        <v>1.1415883798627442</v>
      </c>
      <c r="M4">
        <f>'BCDTRtSY-state-adjusted'!M7</f>
        <v>1.1630083860442502</v>
      </c>
      <c r="N4">
        <f>'BCDTRtSY-state-adjusted'!N7</f>
        <v>1.177531021712179</v>
      </c>
      <c r="O4">
        <f>'BCDTRtSY-state-adjusted'!O7</f>
        <v>1.1919986769307445</v>
      </c>
      <c r="P4">
        <f>'BCDTRtSY-state-adjusted'!P7</f>
        <v>1.2061017018188318</v>
      </c>
      <c r="Q4">
        <f>'BCDTRtSY-state-adjusted'!Q7</f>
        <v>1.2191356864599392</v>
      </c>
      <c r="R4">
        <f>'BCDTRtSY-state-adjusted'!R7</f>
        <v>1.2324820268496808</v>
      </c>
      <c r="S4">
        <f>'BCDTRtSY-state-adjusted'!S7</f>
        <v>1.2440984072156285</v>
      </c>
      <c r="T4">
        <f>'BCDTRtSY-state-adjusted'!T7</f>
        <v>1.2566137566490208</v>
      </c>
      <c r="U4">
        <f>'BCDTRtSY-state-adjusted'!U7</f>
        <v>1.2702424125102894</v>
      </c>
      <c r="V4">
        <f>'BCDTRtSY-state-adjusted'!V7</f>
        <v>1.2836509212993334</v>
      </c>
      <c r="W4">
        <f>'BCDTRtSY-state-adjusted'!W7</f>
        <v>1.297040135464272</v>
      </c>
      <c r="X4">
        <f>'BCDTRtSY-state-adjusted'!X7</f>
        <v>1.3093456383729118</v>
      </c>
      <c r="Y4">
        <f>'BCDTRtSY-state-adjusted'!Y7</f>
        <v>1.3197026429094685</v>
      </c>
      <c r="Z4">
        <f>'BCDTRtSY-state-adjusted'!Z7</f>
        <v>1.3301073614316496</v>
      </c>
      <c r="AA4">
        <f>'BCDTRtSY-state-adjusted'!AA7</f>
        <v>1.3394204124979998</v>
      </c>
      <c r="AB4">
        <f>'BCDTRtSY-state-adjusted'!AB7</f>
        <v>1.3490696995238234</v>
      </c>
    </row>
    <row r="5" spans="1:28">
      <c r="A5" t="s">
        <v>121</v>
      </c>
      <c r="B5">
        <f>'BCDTRtSY-state-adjusted'!B8</f>
        <v>1</v>
      </c>
      <c r="C5">
        <f>'BCDTRtSY-state-adjusted'!C8</f>
        <v>1</v>
      </c>
      <c r="D5">
        <f>'BCDTRtSY-state-adjusted'!D8</f>
        <v>1.0619888752627327</v>
      </c>
      <c r="E5">
        <f>'BCDTRtSY-state-adjusted'!E8</f>
        <v>1.1074802416263139</v>
      </c>
      <c r="F5">
        <f>'BCDTRtSY-state-adjusted'!F8</f>
        <v>1.1413809771527952</v>
      </c>
      <c r="G5">
        <f>'BCDTRtSY-state-adjusted'!G8</f>
        <v>1.1704148532622702</v>
      </c>
      <c r="H5">
        <f>'BCDTRtSY-state-adjusted'!H8</f>
        <v>1.1947894539869286</v>
      </c>
      <c r="I5">
        <f>'BCDTRtSY-state-adjusted'!I8</f>
        <v>1.2113429224995171</v>
      </c>
      <c r="J5">
        <f>'BCDTRtSY-state-adjusted'!J8</f>
        <v>1.2255927889282381</v>
      </c>
      <c r="K5">
        <f>'BCDTRtSY-state-adjusted'!K8</f>
        <v>1.2405575765880403</v>
      </c>
      <c r="L5">
        <f>'BCDTRtSY-state-adjusted'!L8</f>
        <v>1.2504649462699553</v>
      </c>
      <c r="M5">
        <f>'BCDTRtSY-state-adjusted'!M8</f>
        <v>1.2602465174025139</v>
      </c>
      <c r="N5">
        <f>'BCDTRtSY-state-adjusted'!N8</f>
        <v>1.2663426101664932</v>
      </c>
      <c r="O5">
        <f>'BCDTRtSY-state-adjusted'!O8</f>
        <v>1.2732106419977938</v>
      </c>
      <c r="P5">
        <f>'BCDTRtSY-state-adjusted'!P8</f>
        <v>1.2787644067261357</v>
      </c>
      <c r="Q5">
        <f>'BCDTRtSY-state-adjusted'!Q8</f>
        <v>1.2816799590411974</v>
      </c>
      <c r="R5">
        <f>'BCDTRtSY-state-adjusted'!R8</f>
        <v>1.2848955458691298</v>
      </c>
      <c r="S5">
        <f>'BCDTRtSY-state-adjusted'!S8</f>
        <v>1.2863214229486617</v>
      </c>
      <c r="T5">
        <f>'BCDTRtSY-state-adjusted'!T8</f>
        <v>1.2877297668427172</v>
      </c>
      <c r="U5">
        <f>'BCDTRtSY-state-adjusted'!U8</f>
        <v>1.2876372814776771</v>
      </c>
      <c r="V5">
        <f>'BCDTRtSY-state-adjusted'!V8</f>
        <v>1.2882747029777575</v>
      </c>
      <c r="W5">
        <f>'BCDTRtSY-state-adjusted'!W8</f>
        <v>1.2894858774072324</v>
      </c>
      <c r="X5">
        <f>'BCDTRtSY-state-adjusted'!X8</f>
        <v>1.2891449048898589</v>
      </c>
      <c r="Y5">
        <f>'BCDTRtSY-state-adjusted'!Y8</f>
        <v>1.2894434391507874</v>
      </c>
      <c r="Z5">
        <f>'BCDTRtSY-state-adjusted'!Z8</f>
        <v>1.2875869321471345</v>
      </c>
      <c r="AA5">
        <f>'BCDTRtSY-state-adjusted'!AA8</f>
        <v>1.2853354737639942</v>
      </c>
      <c r="AB5">
        <f>'BCDTRtSY-state-adjusted'!AB8</f>
        <v>1.2827924936700494</v>
      </c>
    </row>
    <row r="6" spans="1:28">
      <c r="A6" t="s">
        <v>122</v>
      </c>
      <c r="B6">
        <f>'BCDTRtSY-state-adjusted'!B9</f>
        <v>1</v>
      </c>
      <c r="C6">
        <f>'BCDTRtSY-state-adjusted'!C9</f>
        <v>1</v>
      </c>
      <c r="D6">
        <f>'BCDTRtSY-state-adjusted'!D9</f>
        <v>1.0003218624491006</v>
      </c>
      <c r="E6">
        <f>'BCDTRtSY-state-adjusted'!E9</f>
        <v>0.99359154094947444</v>
      </c>
      <c r="F6">
        <f>'BCDTRtSY-state-adjusted'!F9</f>
        <v>0.98095816498545096</v>
      </c>
      <c r="G6">
        <f>'BCDTRtSY-state-adjusted'!G9</f>
        <v>0.97079395987275818</v>
      </c>
      <c r="H6">
        <f>'BCDTRtSY-state-adjusted'!H9</f>
        <v>0.96293767018994891</v>
      </c>
      <c r="I6">
        <f>'BCDTRtSY-state-adjusted'!I9</f>
        <v>0.95189462425085214</v>
      </c>
      <c r="J6">
        <f>'BCDTRtSY-state-adjusted'!J9</f>
        <v>0.94322056773023832</v>
      </c>
      <c r="K6">
        <f>'BCDTRtSY-state-adjusted'!K9</f>
        <v>0.93577199492864038</v>
      </c>
      <c r="L6">
        <f>'BCDTRtSY-state-adjusted'!L9</f>
        <v>0.92957690508296131</v>
      </c>
      <c r="M6">
        <f>'BCDTRtSY-state-adjusted'!M9</f>
        <v>0.92467440702610915</v>
      </c>
      <c r="N6">
        <f>'BCDTRtSY-state-adjusted'!N9</f>
        <v>0.91693323588791786</v>
      </c>
      <c r="O6">
        <f>'BCDTRtSY-state-adjusted'!O9</f>
        <v>0.90927798190099296</v>
      </c>
      <c r="P6">
        <f>'BCDTRtSY-state-adjusted'!P9</f>
        <v>0.90151496991771118</v>
      </c>
      <c r="Q6">
        <f>'BCDTRtSY-state-adjusted'!Q9</f>
        <v>0.89373486019937642</v>
      </c>
      <c r="R6">
        <f>'BCDTRtSY-state-adjusted'!R9</f>
        <v>0.88609290994923351</v>
      </c>
      <c r="S6">
        <f>'BCDTRtSY-state-adjusted'!S9</f>
        <v>0.87758188304464868</v>
      </c>
      <c r="T6">
        <f>'BCDTRtSY-state-adjusted'!T9</f>
        <v>0.86952003560697944</v>
      </c>
      <c r="U6">
        <f>'BCDTRtSY-state-adjusted'!U9</f>
        <v>0.8617812354992348</v>
      </c>
      <c r="V6">
        <f>'BCDTRtSY-state-adjusted'!V9</f>
        <v>0.85408748353134534</v>
      </c>
      <c r="W6">
        <f>'BCDTRtSY-state-adjusted'!W9</f>
        <v>0.84640828479669916</v>
      </c>
      <c r="X6">
        <f>'BCDTRtSY-state-adjusted'!X9</f>
        <v>0.83834192299561505</v>
      </c>
      <c r="Y6">
        <f>'BCDTRtSY-state-adjusted'!Y9</f>
        <v>0.82972843427514831</v>
      </c>
      <c r="Z6">
        <f>'BCDTRtSY-state-adjusted'!Z9</f>
        <v>0.82103964321090972</v>
      </c>
      <c r="AA6">
        <f>'BCDTRtSY-state-adjusted'!AA9</f>
        <v>0.8120642023633583</v>
      </c>
      <c r="AB6">
        <f>'BCDTRtSY-state-adjusted'!AB9</f>
        <v>0.80339201282889827</v>
      </c>
    </row>
    <row r="7" spans="1:28">
      <c r="A7" t="s">
        <v>123</v>
      </c>
      <c r="B7">
        <f>'BCDTRtSY-state-adjusted'!B10</f>
        <v>1</v>
      </c>
      <c r="C7">
        <f>'BCDTRtSY-state-adjusted'!C10</f>
        <v>1</v>
      </c>
      <c r="D7">
        <f>'BCDTRtSY-state-adjusted'!D10</f>
        <v>1.0042596693880923</v>
      </c>
      <c r="E7">
        <f>'BCDTRtSY-state-adjusted'!E10</f>
        <v>1.0107038187849611</v>
      </c>
      <c r="F7">
        <f>'BCDTRtSY-state-adjusted'!F10</f>
        <v>1.0142149177170776</v>
      </c>
      <c r="G7">
        <f>'BCDTRtSY-state-adjusted'!G10</f>
        <v>1.0175191286499152</v>
      </c>
      <c r="H7">
        <f>'BCDTRtSY-state-adjusted'!H10</f>
        <v>1.01980039304905</v>
      </c>
      <c r="I7">
        <f>'BCDTRtSY-state-adjusted'!I10</f>
        <v>1.0192292228671311</v>
      </c>
      <c r="J7">
        <f>'BCDTRtSY-state-adjusted'!J10</f>
        <v>1.0186998579135895</v>
      </c>
      <c r="K7">
        <f>'BCDTRtSY-state-adjusted'!K10</f>
        <v>1.0166589076292782</v>
      </c>
      <c r="L7">
        <f>'BCDTRtSY-state-adjusted'!L10</f>
        <v>1.0149702874872544</v>
      </c>
      <c r="M7">
        <f>'BCDTRtSY-state-adjusted'!M10</f>
        <v>1.0123996240136737</v>
      </c>
      <c r="N7">
        <f>'BCDTRtSY-state-adjusted'!N10</f>
        <v>1.0106166331129531</v>
      </c>
      <c r="O7">
        <f>'BCDTRtSY-state-adjusted'!O10</f>
        <v>1.009270144129917</v>
      </c>
      <c r="P7">
        <f>'BCDTRtSY-state-adjusted'!P10</f>
        <v>1.0078943582955606</v>
      </c>
      <c r="Q7">
        <f>'BCDTRtSY-state-adjusted'!Q10</f>
        <v>1.0058246890478264</v>
      </c>
      <c r="R7">
        <f>'BCDTRtSY-state-adjusted'!R10</f>
        <v>1.0039783337959252</v>
      </c>
      <c r="S7">
        <f>'BCDTRtSY-state-adjusted'!S10</f>
        <v>1.001355119342181</v>
      </c>
      <c r="T7">
        <f>'BCDTRtSY-state-adjusted'!T10</f>
        <v>0.99847815533590356</v>
      </c>
      <c r="U7">
        <f>'BCDTRtSY-state-adjusted'!U10</f>
        <v>0.99538258320096085</v>
      </c>
      <c r="V7">
        <f>'BCDTRtSY-state-adjusted'!V10</f>
        <v>0.99260583676091796</v>
      </c>
      <c r="W7">
        <f>'BCDTRtSY-state-adjusted'!W10</f>
        <v>0.9897055720166319</v>
      </c>
      <c r="X7">
        <f>'BCDTRtSY-state-adjusted'!X10</f>
        <v>0.98637424371875004</v>
      </c>
      <c r="Y7">
        <f>'BCDTRtSY-state-adjusted'!Y10</f>
        <v>0.98236700610719951</v>
      </c>
      <c r="Z7">
        <f>'BCDTRtSY-state-adjusted'!Z10</f>
        <v>0.97832191046504069</v>
      </c>
      <c r="AA7">
        <f>'BCDTRtSY-state-adjusted'!AA10</f>
        <v>0.97414350875391564</v>
      </c>
      <c r="AB7">
        <f>'BCDTRtSY-state-adjusted'!AB10</f>
        <v>0.97034337268465021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0.99447323244786945</v>
      </c>
      <c r="E2">
        <f>'BCDTRtSY-state-adjusted'!E13</f>
        <v>0.99441632785090039</v>
      </c>
      <c r="F2">
        <f>'BCDTRtSY-state-adjusted'!F13</f>
        <v>0.99399940642369389</v>
      </c>
      <c r="G2">
        <f>'BCDTRtSY-state-adjusted'!G13</f>
        <v>0.99475485725482404</v>
      </c>
      <c r="H2">
        <f>'BCDTRtSY-state-adjusted'!H13</f>
        <v>1.0002690240882726</v>
      </c>
      <c r="I2">
        <f>'BCDTRtSY-state-adjusted'!I13</f>
        <v>1.0014863218372381</v>
      </c>
      <c r="J2">
        <f>'BCDTRtSY-state-adjusted'!J13</f>
        <v>1.0044695444600089</v>
      </c>
      <c r="K2">
        <f>'BCDTRtSY-state-adjusted'!K13</f>
        <v>1.0061562610329879</v>
      </c>
      <c r="L2">
        <f>'BCDTRtSY-state-adjusted'!L13</f>
        <v>1.0097308292124691</v>
      </c>
      <c r="M2">
        <f>'BCDTRtSY-state-adjusted'!M13</f>
        <v>1.0139773464673341</v>
      </c>
      <c r="N2">
        <f>'BCDTRtSY-state-adjusted'!N13</f>
        <v>1.0185307983635374</v>
      </c>
      <c r="O2">
        <f>'BCDTRtSY-state-adjusted'!O13</f>
        <v>1.0242898200977986</v>
      </c>
      <c r="P2">
        <f>'BCDTRtSY-state-adjusted'!P13</f>
        <v>1.0312146633762629</v>
      </c>
      <c r="Q2">
        <f>'BCDTRtSY-state-adjusted'!Q13</f>
        <v>1.0384550400846548</v>
      </c>
      <c r="R2">
        <f>'BCDTRtSY-state-adjusted'!R13</f>
        <v>1.0461511409609752</v>
      </c>
      <c r="S2">
        <f>'BCDTRtSY-state-adjusted'!S13</f>
        <v>1.0525930690259295</v>
      </c>
      <c r="T2">
        <f>'BCDTRtSY-state-adjusted'!T13</f>
        <v>1.0583927078313986</v>
      </c>
      <c r="U2">
        <f>'BCDTRtSY-state-adjusted'!U13</f>
        <v>1.0616840151119962</v>
      </c>
      <c r="V2">
        <f>'BCDTRtSY-state-adjusted'!V13</f>
        <v>1.0646842355322512</v>
      </c>
      <c r="W2">
        <f>'BCDTRtSY-state-adjusted'!W13</f>
        <v>1.0689493725976205</v>
      </c>
      <c r="X2">
        <f>'BCDTRtSY-state-adjusted'!X13</f>
        <v>1.0736193990908458</v>
      </c>
      <c r="Y2">
        <f>'BCDTRtSY-state-adjusted'!Y13</f>
        <v>1.0788952218400367</v>
      </c>
      <c r="Z2">
        <f>'BCDTRtSY-state-adjusted'!Z13</f>
        <v>1.0829196669824515</v>
      </c>
      <c r="AA2">
        <f>'BCDTRtSY-state-adjusted'!AA13</f>
        <v>1.0876384647760555</v>
      </c>
      <c r="AB2">
        <f>'BCDTRtSY-state-adjusted'!AB13</f>
        <v>1.0916027182963366</v>
      </c>
    </row>
    <row r="3" spans="1:28">
      <c r="A3" t="s">
        <v>118</v>
      </c>
      <c r="B3">
        <f>'BCDTRtSY-state-adjusted'!B14</f>
        <v>1</v>
      </c>
      <c r="C3">
        <f>'BCDTRtSY-state-adjusted'!C14</f>
        <v>1</v>
      </c>
      <c r="D3">
        <f>'BCDTRtSY-state-adjusted'!D14</f>
        <v>1.0090936727899402</v>
      </c>
      <c r="E3">
        <f>'BCDTRtSY-state-adjusted'!E14</f>
        <v>1.0223947741875903</v>
      </c>
      <c r="F3">
        <f>'BCDTRtSY-state-adjusted'!F14</f>
        <v>1.0348054938453926</v>
      </c>
      <c r="G3">
        <f>'BCDTRtSY-state-adjusted'!G14</f>
        <v>1.0446075852192709</v>
      </c>
      <c r="H3">
        <f>'BCDTRtSY-state-adjusted'!H14</f>
        <v>1.0567507404694128</v>
      </c>
      <c r="I3">
        <f>'BCDTRtSY-state-adjusted'!I14</f>
        <v>1.0613825427234187</v>
      </c>
      <c r="J3">
        <f>'BCDTRtSY-state-adjusted'!J14</f>
        <v>1.0668813110250093</v>
      </c>
      <c r="K3">
        <f>'BCDTRtSY-state-adjusted'!K14</f>
        <v>1.0701796765380127</v>
      </c>
      <c r="L3">
        <f>'BCDTRtSY-state-adjusted'!L14</f>
        <v>1.0746857264821603</v>
      </c>
      <c r="M3">
        <f>'BCDTRtSY-state-adjusted'!M14</f>
        <v>1.0790236995441125</v>
      </c>
      <c r="N3">
        <f>'BCDTRtSY-state-adjusted'!N14</f>
        <v>1.0825432919525628</v>
      </c>
      <c r="O3">
        <f>'BCDTRtSY-state-adjusted'!O14</f>
        <v>1.0853524514439716</v>
      </c>
      <c r="P3">
        <f>'BCDTRtSY-state-adjusted'!P14</f>
        <v>1.0871523384475479</v>
      </c>
      <c r="Q3">
        <f>'BCDTRtSY-state-adjusted'!Q14</f>
        <v>1.0883801315062822</v>
      </c>
      <c r="R3">
        <f>'BCDTRtSY-state-adjusted'!R14</f>
        <v>1.0897638064105997</v>
      </c>
      <c r="S3">
        <f>'BCDTRtSY-state-adjusted'!S14</f>
        <v>1.090616634187453</v>
      </c>
      <c r="T3">
        <f>'BCDTRtSY-state-adjusted'!T14</f>
        <v>1.0909344065877866</v>
      </c>
      <c r="U3">
        <f>'BCDTRtSY-state-adjusted'!U14</f>
        <v>1.090255102767018</v>
      </c>
      <c r="V3">
        <f>'BCDTRtSY-state-adjusted'!V14</f>
        <v>1.0898623729857966</v>
      </c>
      <c r="W3">
        <f>'BCDTRtSY-state-adjusted'!W14</f>
        <v>1.0912386734007269</v>
      </c>
      <c r="X3">
        <f>'BCDTRtSY-state-adjusted'!X14</f>
        <v>1.0927863928300887</v>
      </c>
      <c r="Y3">
        <f>'BCDTRtSY-state-adjusted'!Y14</f>
        <v>1.0942142272883122</v>
      </c>
      <c r="Z3">
        <f>'BCDTRtSY-state-adjusted'!Z14</f>
        <v>1.093606445388535</v>
      </c>
      <c r="AA3">
        <f>'BCDTRtSY-state-adjusted'!AA14</f>
        <v>1.0929100305387596</v>
      </c>
      <c r="AB3">
        <f>'BCDTRtSY-state-adjusted'!AB14</f>
        <v>1.0916679383491696</v>
      </c>
    </row>
    <row r="4" spans="1:28">
      <c r="A4" t="s">
        <v>116</v>
      </c>
      <c r="B4">
        <f>'BCDTRtSY-state-adjusted'!B15</f>
        <v>1</v>
      </c>
      <c r="C4">
        <f>'BCDTRtSY-state-adjusted'!C15</f>
        <v>1</v>
      </c>
      <c r="D4">
        <f>'BCDTRtSY-state-adjusted'!D15</f>
        <v>1.0251373379091933</v>
      </c>
      <c r="E4">
        <f>'BCDTRtSY-state-adjusted'!E15</f>
        <v>1.0424655545004833</v>
      </c>
      <c r="F4">
        <f>'BCDTRtSY-state-adjusted'!F15</f>
        <v>1.053318173277765</v>
      </c>
      <c r="G4">
        <f>'BCDTRtSY-state-adjusted'!G15</f>
        <v>1.0678260998028819</v>
      </c>
      <c r="H4">
        <f>'BCDTRtSY-state-adjusted'!H15</f>
        <v>1.0852633024114759</v>
      </c>
      <c r="I4">
        <f>'BCDTRtSY-state-adjusted'!I15</f>
        <v>1.0990915908023309</v>
      </c>
      <c r="J4">
        <f>'BCDTRtSY-state-adjusted'!J15</f>
        <v>1.1158874509853918</v>
      </c>
      <c r="K4">
        <f>'BCDTRtSY-state-adjusted'!K15</f>
        <v>1.1340022850970313</v>
      </c>
      <c r="L4">
        <f>'BCDTRtSY-state-adjusted'!L15</f>
        <v>1.1537239325258575</v>
      </c>
      <c r="M4">
        <f>'BCDTRtSY-state-adjusted'!M15</f>
        <v>1.1751494585215305</v>
      </c>
      <c r="N4">
        <f>'BCDTRtSY-state-adjusted'!N15</f>
        <v>1.1920395603786926</v>
      </c>
      <c r="O4">
        <f>'BCDTRtSY-state-adjusted'!O15</f>
        <v>1.2089890154297254</v>
      </c>
      <c r="P4">
        <f>'BCDTRtSY-state-adjusted'!P15</f>
        <v>1.2257789436677153</v>
      </c>
      <c r="Q4">
        <f>'BCDTRtSY-state-adjusted'!Q15</f>
        <v>1.2419137861028042</v>
      </c>
      <c r="R4">
        <f>'BCDTRtSY-state-adjusted'!R15</f>
        <v>1.2583526790062689</v>
      </c>
      <c r="S4">
        <f>'BCDTRtSY-state-adjusted'!S15</f>
        <v>1.2735551352607672</v>
      </c>
      <c r="T4">
        <f>'BCDTRtSY-state-adjusted'!T15</f>
        <v>1.2894319223437651</v>
      </c>
      <c r="U4">
        <f>'BCDTRtSY-state-adjusted'!U15</f>
        <v>1.3061367935163115</v>
      </c>
      <c r="V4">
        <f>'BCDTRtSY-state-adjusted'!V15</f>
        <v>1.3227530535963534</v>
      </c>
      <c r="W4">
        <f>'BCDTRtSY-state-adjusted'!W15</f>
        <v>1.3394156057933022</v>
      </c>
      <c r="X4">
        <f>'BCDTRtSY-state-adjusted'!X15</f>
        <v>1.3553872402037865</v>
      </c>
      <c r="Y4">
        <f>'BCDTRtSY-state-adjusted'!Y15</f>
        <v>1.370055055932188</v>
      </c>
      <c r="Z4">
        <f>'BCDTRtSY-state-adjusted'!Z15</f>
        <v>1.3848170046693986</v>
      </c>
      <c r="AA4">
        <f>'BCDTRtSY-state-adjusted'!AA15</f>
        <v>1.3988750718266849</v>
      </c>
      <c r="AB4">
        <f>'BCDTRtSY-state-adjusted'!AB15</f>
        <v>1.4132472122214428</v>
      </c>
    </row>
    <row r="5" spans="1:28">
      <c r="A5" t="s">
        <v>121</v>
      </c>
      <c r="B5">
        <f>'BCDTRtSY-state-adjusted'!B16</f>
        <v>1</v>
      </c>
      <c r="C5">
        <f>'BCDTRtSY-state-adjusted'!C16</f>
        <v>1</v>
      </c>
      <c r="D5">
        <f>'BCDTRtSY-state-adjusted'!D16</f>
        <v>0.97565971217242053</v>
      </c>
      <c r="E5">
        <f>'BCDTRtSY-state-adjusted'!E16</f>
        <v>1.005452313707244</v>
      </c>
      <c r="F5">
        <f>'BCDTRtSY-state-adjusted'!F16</f>
        <v>0.98321389483340527</v>
      </c>
      <c r="G5">
        <f>'BCDTRtSY-state-adjusted'!G16</f>
        <v>0.97385873290226455</v>
      </c>
      <c r="H5">
        <f>'BCDTRtSY-state-adjusted'!H16</f>
        <v>0.97875060293455463</v>
      </c>
      <c r="I5">
        <f>'BCDTRtSY-state-adjusted'!I16</f>
        <v>0.94936862910561692</v>
      </c>
      <c r="J5">
        <f>'BCDTRtSY-state-adjusted'!J16</f>
        <v>0.94907879804324169</v>
      </c>
      <c r="K5">
        <f>'BCDTRtSY-state-adjusted'!K16</f>
        <v>0.94892476344383447</v>
      </c>
      <c r="L5">
        <f>'BCDTRtSY-state-adjusted'!L16</f>
        <v>0.94200050435483718</v>
      </c>
      <c r="M5">
        <f>'BCDTRtSY-state-adjusted'!M16</f>
        <v>0.94085635250955824</v>
      </c>
      <c r="N5">
        <f>'BCDTRtSY-state-adjusted'!N16</f>
        <v>0.93887820693868262</v>
      </c>
      <c r="O5">
        <f>'BCDTRtSY-state-adjusted'!O16</f>
        <v>0.93823255007190587</v>
      </c>
      <c r="P5">
        <f>'BCDTRtSY-state-adjusted'!P16</f>
        <v>0.93443531244857325</v>
      </c>
      <c r="Q5">
        <f>'BCDTRtSY-state-adjusted'!Q16</f>
        <v>0.93215574248954269</v>
      </c>
      <c r="R5">
        <f>'BCDTRtSY-state-adjusted'!R16</f>
        <v>0.92893735067147853</v>
      </c>
      <c r="S5">
        <f>'BCDTRtSY-state-adjusted'!S16</f>
        <v>0.92375495912448369</v>
      </c>
      <c r="T5">
        <f>'BCDTRtSY-state-adjusted'!T16</f>
        <v>0.91659071333230968</v>
      </c>
      <c r="U5">
        <f>'BCDTRtSY-state-adjusted'!U16</f>
        <v>0.910065943358356</v>
      </c>
      <c r="V5">
        <f>'BCDTRtSY-state-adjusted'!V16</f>
        <v>0.9058915695507469</v>
      </c>
      <c r="W5">
        <f>'BCDTRtSY-state-adjusted'!W16</f>
        <v>0.9011752587644104</v>
      </c>
      <c r="X5">
        <f>'BCDTRtSY-state-adjusted'!X16</f>
        <v>0.89881610691725111</v>
      </c>
      <c r="Y5">
        <f>'BCDTRtSY-state-adjusted'!Y16</f>
        <v>0.89985668270644514</v>
      </c>
      <c r="Z5">
        <f>'BCDTRtSY-state-adjusted'!Z16</f>
        <v>0.89845515917887375</v>
      </c>
      <c r="AA5">
        <f>'BCDTRtSY-state-adjusted'!AA16</f>
        <v>0.89167058323080151</v>
      </c>
      <c r="AB5">
        <f>'BCDTRtSY-state-adjusted'!AB16</f>
        <v>0.88553148484341837</v>
      </c>
    </row>
    <row r="6" spans="1:28">
      <c r="A6" t="s">
        <v>122</v>
      </c>
      <c r="B6">
        <f>'BCDTRtSY-state-adjusted'!B17</f>
        <v>1</v>
      </c>
      <c r="C6">
        <f>'BCDTRtSY-state-adjusted'!C17</f>
        <v>1</v>
      </c>
      <c r="D6">
        <f>'BCDTRtSY-state-adjusted'!D17</f>
        <v>0.99050653737741512</v>
      </c>
      <c r="E6">
        <f>'BCDTRtSY-state-adjusted'!E17</f>
        <v>1.0079606488549131</v>
      </c>
      <c r="F6">
        <f>'BCDTRtSY-state-adjusted'!F17</f>
        <v>1.0273791158385672</v>
      </c>
      <c r="G6">
        <f>'BCDTRtSY-state-adjusted'!G17</f>
        <v>1.0433945735155992</v>
      </c>
      <c r="H6">
        <f>'BCDTRtSY-state-adjusted'!H17</f>
        <v>1.0602814808934056</v>
      </c>
      <c r="I6">
        <f>'BCDTRtSY-state-adjusted'!I17</f>
        <v>1.0725828974959362</v>
      </c>
      <c r="J6">
        <f>'BCDTRtSY-state-adjusted'!J17</f>
        <v>1.086782463637225</v>
      </c>
      <c r="K6">
        <f>'BCDTRtSY-state-adjusted'!K17</f>
        <v>1.1011336752823053</v>
      </c>
      <c r="L6">
        <f>'BCDTRtSY-state-adjusted'!L17</f>
        <v>1.1160505941860901</v>
      </c>
      <c r="M6">
        <f>'BCDTRtSY-state-adjusted'!M17</f>
        <v>1.1318071990079037</v>
      </c>
      <c r="N6">
        <f>'BCDTRtSY-state-adjusted'!N17</f>
        <v>1.1435184860793035</v>
      </c>
      <c r="O6">
        <f>'BCDTRtSY-state-adjusted'!O17</f>
        <v>1.1518779307608795</v>
      </c>
      <c r="P6">
        <f>'BCDTRtSY-state-adjusted'!P17</f>
        <v>1.1601386450567313</v>
      </c>
      <c r="Q6">
        <f>'BCDTRtSY-state-adjusted'!Q17</f>
        <v>1.1671752600882703</v>
      </c>
      <c r="R6">
        <f>'BCDTRtSY-state-adjusted'!R17</f>
        <v>1.1742106394065823</v>
      </c>
      <c r="S6">
        <f>'BCDTRtSY-state-adjusted'!S17</f>
        <v>1.1805098220062367</v>
      </c>
      <c r="T6">
        <f>'BCDTRtSY-state-adjusted'!T17</f>
        <v>1.1877323417807273</v>
      </c>
      <c r="U6">
        <f>'BCDTRtSY-state-adjusted'!U17</f>
        <v>1.1944613072010817</v>
      </c>
      <c r="V6">
        <f>'BCDTRtSY-state-adjusted'!V17</f>
        <v>1.2009582690810885</v>
      </c>
      <c r="W6">
        <f>'BCDTRtSY-state-adjusted'!W17</f>
        <v>1.2086329843718342</v>
      </c>
      <c r="X6">
        <f>'BCDTRtSY-state-adjusted'!X17</f>
        <v>1.2163529105437614</v>
      </c>
      <c r="Y6">
        <f>'BCDTRtSY-state-adjusted'!Y17</f>
        <v>1.224149289988447</v>
      </c>
      <c r="Z6">
        <f>'BCDTRtSY-state-adjusted'!Z17</f>
        <v>1.2311302130909798</v>
      </c>
      <c r="AA6">
        <f>'BCDTRtSY-state-adjusted'!AA17</f>
        <v>1.2377310200377567</v>
      </c>
      <c r="AB6">
        <f>'BCDTRtSY-state-adjusted'!AB17</f>
        <v>1.2455597802572576</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2026-08-14T21:49:03Z</dcterms:modified>
</cp:coreProperties>
</file>