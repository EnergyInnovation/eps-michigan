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I\add-outputs\HOIpTP\"/>
    </mc:Choice>
  </mc:AlternateContent>
  <xr:revisionPtr revIDLastSave="0" documentId="8_{1CD32AAE-F0B5-4680-B840-4223938BA33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U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J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Q3" i="19"/>
  <c r="J3" i="19"/>
  <c r="E3" i="19"/>
  <c r="B3" i="19"/>
  <c r="O3" i="19" s="1"/>
  <c r="AB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T17" i="18"/>
  <c r="Q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Q15" i="18" s="1"/>
  <c r="Y14" i="18"/>
  <c r="R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U8" i="18"/>
  <c r="Q8" i="18"/>
  <c r="M8" i="18"/>
  <c r="F8" i="18"/>
  <c r="E8" i="18"/>
  <c r="B8" i="18"/>
  <c r="W8" i="18" s="1"/>
  <c r="AB7" i="18"/>
  <c r="AA7" i="18"/>
  <c r="H7" i="18"/>
  <c r="D7" i="18"/>
  <c r="C7" i="18"/>
  <c r="B7" i="18"/>
  <c r="G7" i="18" s="1"/>
  <c r="B6" i="18"/>
  <c r="O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V3" i="18"/>
  <c r="P3" i="18"/>
  <c r="N3" i="18"/>
  <c r="J3" i="18"/>
  <c r="I3" i="18"/>
  <c r="H3" i="18"/>
  <c r="E3" i="18"/>
  <c r="B3" i="18"/>
  <c r="Z3" i="18" s="1"/>
  <c r="Z2" i="18"/>
  <c r="U2" i="18"/>
  <c r="K2" i="18"/>
  <c r="J2" i="18"/>
  <c r="D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C13" i="17"/>
  <c r="B13" i="17"/>
  <c r="U13" i="17" s="1"/>
  <c r="Y12" i="17"/>
  <c r="T12" i="17"/>
  <c r="P12" i="17"/>
  <c r="O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S8" i="17"/>
  <c r="R8" i="17"/>
  <c r="O8" i="17"/>
  <c r="F8" i="17"/>
  <c r="D8" i="17"/>
  <c r="C8" i="17"/>
  <c r="B8" i="17"/>
  <c r="AB8" i="17" s="1"/>
  <c r="U7" i="17"/>
  <c r="T7" i="17"/>
  <c r="B7" i="17"/>
  <c r="O7" i="17" s="1"/>
  <c r="Q6" i="17"/>
  <c r="L6" i="17"/>
  <c r="G6" i="17"/>
  <c r="E6" i="17"/>
  <c r="C6" i="17"/>
  <c r="B6" i="17"/>
  <c r="M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Z17" i="16"/>
  <c r="Y17" i="16"/>
  <c r="V17" i="16"/>
  <c r="U17" i="16"/>
  <c r="R17" i="16"/>
  <c r="H17" i="16"/>
  <c r="G17" i="16"/>
  <c r="B17" i="16"/>
  <c r="J17" i="16" s="1"/>
  <c r="B16" i="16"/>
  <c r="AA15" i="16"/>
  <c r="X15" i="16"/>
  <c r="K15" i="16"/>
  <c r="B15" i="16"/>
  <c r="Y15" i="16" s="1"/>
  <c r="B14" i="16"/>
  <c r="X13" i="16"/>
  <c r="W13" i="16"/>
  <c r="J13" i="16"/>
  <c r="D13" i="16"/>
  <c r="B13" i="16"/>
  <c r="Y12" i="16"/>
  <c r="X12" i="16"/>
  <c r="I12" i="16"/>
  <c r="C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T7" i="16"/>
  <c r="S7" i="16"/>
  <c r="R7" i="16"/>
  <c r="M7" i="16"/>
  <c r="H7" i="16"/>
  <c r="F7" i="16"/>
  <c r="E7" i="16"/>
  <c r="D7" i="16"/>
  <c r="B7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E15" i="15"/>
  <c r="C15" i="15"/>
  <c r="B15" i="15"/>
  <c r="G15" i="15" s="1"/>
  <c r="N14" i="15"/>
  <c r="B14" i="15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N12" i="15"/>
  <c r="M12" i="15"/>
  <c r="L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R8" i="15"/>
  <c r="O8" i="15"/>
  <c r="N8" i="15"/>
  <c r="M8" i="15"/>
  <c r="L8" i="15"/>
  <c r="K8" i="15"/>
  <c r="J8" i="15"/>
  <c r="H8" i="15"/>
  <c r="F8" i="15"/>
  <c r="E8" i="15"/>
  <c r="B8" i="15"/>
  <c r="Y8" i="15" s="1"/>
  <c r="AB7" i="15"/>
  <c r="AA7" i="15"/>
  <c r="W7" i="15"/>
  <c r="S7" i="15"/>
  <c r="R7" i="15"/>
  <c r="Q7" i="15"/>
  <c r="P7" i="15"/>
  <c r="O7" i="15"/>
  <c r="N7" i="15"/>
  <c r="M7" i="15"/>
  <c r="L7" i="15"/>
  <c r="J7" i="15"/>
  <c r="I7" i="15"/>
  <c r="F7" i="15"/>
  <c r="E7" i="15"/>
  <c r="D7" i="15"/>
  <c r="B7" i="15"/>
  <c r="X7" i="15" s="1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W3" i="15"/>
  <c r="U3" i="15"/>
  <c r="T3" i="15"/>
  <c r="Q3" i="15"/>
  <c r="N3" i="15"/>
  <c r="L3" i="15"/>
  <c r="K3" i="15"/>
  <c r="I3" i="15"/>
  <c r="G3" i="15"/>
  <c r="F3" i="15"/>
  <c r="B3" i="15"/>
  <c r="Q2" i="15"/>
  <c r="O2" i="15"/>
  <c r="N2" i="15"/>
  <c r="M2" i="15"/>
  <c r="L2" i="15"/>
  <c r="J2" i="15"/>
  <c r="I2" i="15"/>
  <c r="H2" i="15"/>
  <c r="B2" i="15"/>
  <c r="AA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Y15" i="14"/>
  <c r="W15" i="14"/>
  <c r="V15" i="14"/>
  <c r="U15" i="14"/>
  <c r="S15" i="14"/>
  <c r="R15" i="14"/>
  <c r="Q15" i="14"/>
  <c r="O15" i="14"/>
  <c r="N15" i="14"/>
  <c r="M15" i="14"/>
  <c r="J15" i="14"/>
  <c r="F15" i="14"/>
  <c r="E15" i="14"/>
  <c r="D15" i="14"/>
  <c r="C15" i="14"/>
  <c r="B15" i="14"/>
  <c r="AA15" i="14" s="1"/>
  <c r="AB14" i="14"/>
  <c r="S14" i="14"/>
  <c r="R14" i="14"/>
  <c r="B14" i="14"/>
  <c r="Y14" i="14" s="1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X7" i="14"/>
  <c r="W7" i="14"/>
  <c r="R7" i="14"/>
  <c r="P7" i="14"/>
  <c r="N7" i="14"/>
  <c r="M7" i="14"/>
  <c r="I7" i="14"/>
  <c r="H7" i="14"/>
  <c r="G7" i="14"/>
  <c r="E7" i="14"/>
  <c r="D7" i="14"/>
  <c r="C7" i="14"/>
  <c r="B7" i="14"/>
  <c r="S7" i="14" s="1"/>
  <c r="X6" i="14"/>
  <c r="W6" i="14"/>
  <c r="E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B3" i="14"/>
  <c r="AB2" i="14"/>
  <c r="X2" i="14"/>
  <c r="V2" i="14"/>
  <c r="U2" i="14"/>
  <c r="R2" i="14"/>
  <c r="P2" i="14"/>
  <c r="O2" i="14"/>
  <c r="M2" i="14"/>
  <c r="L2" i="14"/>
  <c r="F2" i="14"/>
  <c r="E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A15" i="13"/>
  <c r="Z15" i="13"/>
  <c r="Y15" i="13"/>
  <c r="V15" i="13"/>
  <c r="T15" i="13"/>
  <c r="P15" i="13"/>
  <c r="O15" i="13"/>
  <c r="N15" i="13"/>
  <c r="M15" i="13"/>
  <c r="L15" i="13"/>
  <c r="J15" i="13"/>
  <c r="I15" i="13"/>
  <c r="G15" i="13"/>
  <c r="F15" i="13"/>
  <c r="E15" i="13"/>
  <c r="C15" i="13"/>
  <c r="B15" i="13"/>
  <c r="O14" i="13"/>
  <c r="M14" i="13"/>
  <c r="L14" i="13"/>
  <c r="E14" i="13"/>
  <c r="B14" i="13"/>
  <c r="K14" i="13" s="1"/>
  <c r="X13" i="13"/>
  <c r="V13" i="13"/>
  <c r="T13" i="13"/>
  <c r="B13" i="13"/>
  <c r="B12" i="13"/>
  <c r="S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V8" i="13"/>
  <c r="U8" i="13"/>
  <c r="T8" i="13"/>
  <c r="Q8" i="13"/>
  <c r="K8" i="13"/>
  <c r="J8" i="13"/>
  <c r="G8" i="13"/>
  <c r="F8" i="13"/>
  <c r="B8" i="13"/>
  <c r="AA8" i="13" s="1"/>
  <c r="AB7" i="13"/>
  <c r="AA7" i="13"/>
  <c r="Z7" i="13"/>
  <c r="X7" i="13"/>
  <c r="W7" i="13"/>
  <c r="U7" i="13"/>
  <c r="R7" i="13"/>
  <c r="M7" i="13"/>
  <c r="L7" i="13"/>
  <c r="B7" i="13"/>
  <c r="K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F3" i="13" s="1"/>
  <c r="AB2" i="13"/>
  <c r="Y2" i="13"/>
  <c r="X2" i="13"/>
  <c r="Q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AB16" i="12"/>
  <c r="AA16" i="12"/>
  <c r="Z16" i="12"/>
  <c r="J16" i="12"/>
  <c r="C16" i="12"/>
  <c r="B16" i="12"/>
  <c r="B15" i="12"/>
  <c r="G15" i="12" s="1"/>
  <c r="AB14" i="12"/>
  <c r="Y14" i="12"/>
  <c r="X14" i="12"/>
  <c r="V14" i="12"/>
  <c r="R14" i="12"/>
  <c r="Q14" i="12"/>
  <c r="B14" i="12"/>
  <c r="L14" i="12" s="1"/>
  <c r="B13" i="12"/>
  <c r="H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U8" i="12"/>
  <c r="S8" i="12"/>
  <c r="R8" i="12"/>
  <c r="Q8" i="12"/>
  <c r="P8" i="12"/>
  <c r="M8" i="12"/>
  <c r="J8" i="12"/>
  <c r="I8" i="12"/>
  <c r="H8" i="12"/>
  <c r="F8" i="12"/>
  <c r="D8" i="12"/>
  <c r="C8" i="12"/>
  <c r="B8" i="12"/>
  <c r="G8" i="12" s="1"/>
  <c r="AB7" i="12"/>
  <c r="AA7" i="12"/>
  <c r="E7" i="12"/>
  <c r="B7" i="12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L3" i="12"/>
  <c r="K3" i="12"/>
  <c r="G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B15" i="11"/>
  <c r="W15" i="11" s="1"/>
  <c r="V14" i="11"/>
  <c r="U14" i="11"/>
  <c r="T14" i="11"/>
  <c r="R14" i="11"/>
  <c r="Q14" i="11"/>
  <c r="O14" i="11"/>
  <c r="N14" i="11"/>
  <c r="K14" i="11"/>
  <c r="J14" i="11"/>
  <c r="H14" i="11"/>
  <c r="G14" i="11"/>
  <c r="F14" i="11"/>
  <c r="B14" i="11"/>
  <c r="AB14" i="11" s="1"/>
  <c r="R13" i="11"/>
  <c r="M13" i="11"/>
  <c r="L13" i="11"/>
  <c r="B13" i="11"/>
  <c r="AB12" i="11"/>
  <c r="Z12" i="11"/>
  <c r="Y12" i="11"/>
  <c r="X12" i="11"/>
  <c r="U12" i="11"/>
  <c r="P12" i="11"/>
  <c r="O12" i="11"/>
  <c r="L12" i="11"/>
  <c r="K12" i="11"/>
  <c r="J12" i="11"/>
  <c r="I12" i="11"/>
  <c r="E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R8" i="11"/>
  <c r="Q8" i="11"/>
  <c r="P8" i="11"/>
  <c r="O8" i="11"/>
  <c r="N8" i="11"/>
  <c r="K8" i="11"/>
  <c r="B8" i="11"/>
  <c r="AB7" i="11"/>
  <c r="AA7" i="11"/>
  <c r="Z7" i="11"/>
  <c r="X7" i="11"/>
  <c r="V7" i="11"/>
  <c r="P7" i="11"/>
  <c r="O7" i="11"/>
  <c r="M7" i="11"/>
  <c r="L7" i="11"/>
  <c r="K7" i="11"/>
  <c r="J7" i="11"/>
  <c r="I7" i="11"/>
  <c r="G7" i="11"/>
  <c r="F7" i="11"/>
  <c r="E7" i="11"/>
  <c r="D7" i="11"/>
  <c r="C7" i="11"/>
  <c r="B7" i="11"/>
  <c r="U7" i="11" s="1"/>
  <c r="X6" i="11"/>
  <c r="T6" i="11"/>
  <c r="R6" i="11"/>
  <c r="O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M3" i="11"/>
  <c r="L3" i="11"/>
  <c r="K3" i="11"/>
  <c r="I3" i="11"/>
  <c r="H3" i="11"/>
  <c r="B3" i="11"/>
  <c r="I2" i="11"/>
  <c r="G2" i="11"/>
  <c r="B2" i="1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Y15" i="10"/>
  <c r="W15" i="10"/>
  <c r="T15" i="10"/>
  <c r="R15" i="10"/>
  <c r="P15" i="10"/>
  <c r="O15" i="10"/>
  <c r="N15" i="10"/>
  <c r="M15" i="10"/>
  <c r="L15" i="10"/>
  <c r="K15" i="10"/>
  <c r="H15" i="10"/>
  <c r="G15" i="10"/>
  <c r="D15" i="10"/>
  <c r="C15" i="10"/>
  <c r="B15" i="10"/>
  <c r="V15" i="10" s="1"/>
  <c r="AB14" i="10"/>
  <c r="AA14" i="10"/>
  <c r="Z14" i="10"/>
  <c r="W14" i="10"/>
  <c r="V14" i="10"/>
  <c r="O14" i="10"/>
  <c r="N14" i="10"/>
  <c r="L14" i="10"/>
  <c r="K14" i="10"/>
  <c r="H14" i="10"/>
  <c r="B14" i="10"/>
  <c r="AA13" i="10"/>
  <c r="Z13" i="10"/>
  <c r="P13" i="10"/>
  <c r="M13" i="10"/>
  <c r="B13" i="10"/>
  <c r="Y13" i="10" s="1"/>
  <c r="B12" i="10"/>
  <c r="C11" i="10"/>
  <c r="B11" i="10"/>
  <c r="B10" i="10"/>
  <c r="B9" i="10"/>
  <c r="AB8" i="10"/>
  <c r="Z8" i="10"/>
  <c r="N8" i="10"/>
  <c r="C8" i="10"/>
  <c r="B8" i="10"/>
  <c r="B7" i="10"/>
  <c r="X7" i="10" s="1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V2" i="10"/>
  <c r="P2" i="10"/>
  <c r="M2" i="10"/>
  <c r="L2" i="10"/>
  <c r="K2" i="10"/>
  <c r="J2" i="10"/>
  <c r="H2" i="10"/>
  <c r="F2" i="10"/>
  <c r="E2" i="10"/>
  <c r="D2" i="10"/>
  <c r="B2" i="10"/>
  <c r="U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O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W14" i="9"/>
  <c r="U14" i="9"/>
  <c r="R14" i="9"/>
  <c r="Q14" i="9"/>
  <c r="P14" i="9"/>
  <c r="N14" i="9"/>
  <c r="L14" i="9"/>
  <c r="G14" i="9"/>
  <c r="D14" i="9"/>
  <c r="C14" i="9"/>
  <c r="B14" i="9"/>
  <c r="AB14" i="9" s="1"/>
  <c r="AA13" i="9"/>
  <c r="Z13" i="9"/>
  <c r="Y13" i="9"/>
  <c r="X13" i="9"/>
  <c r="W13" i="9"/>
  <c r="S13" i="9"/>
  <c r="Q13" i="9"/>
  <c r="M13" i="9"/>
  <c r="D13" i="9"/>
  <c r="C13" i="9"/>
  <c r="B13" i="9"/>
  <c r="H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X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AA7" i="9"/>
  <c r="X7" i="9"/>
  <c r="V7" i="9"/>
  <c r="S7" i="9"/>
  <c r="R7" i="9"/>
  <c r="P7" i="9"/>
  <c r="N7" i="9"/>
  <c r="M7" i="9"/>
  <c r="L7" i="9"/>
  <c r="J7" i="9"/>
  <c r="I7" i="9"/>
  <c r="G7" i="9"/>
  <c r="F7" i="9"/>
  <c r="D7" i="9"/>
  <c r="C7" i="9"/>
  <c r="B7" i="9"/>
  <c r="U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Z3" i="9"/>
  <c r="Y3" i="9"/>
  <c r="S3" i="9"/>
  <c r="O3" i="9"/>
  <c r="K3" i="9"/>
  <c r="G3" i="9"/>
  <c r="F3" i="9"/>
  <c r="B3" i="9"/>
  <c r="C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N15" i="8"/>
  <c r="M15" i="8"/>
  <c r="I15" i="8"/>
  <c r="B15" i="8"/>
  <c r="Z14" i="8"/>
  <c r="W14" i="8"/>
  <c r="T14" i="8"/>
  <c r="S14" i="8"/>
  <c r="R14" i="8"/>
  <c r="O14" i="8"/>
  <c r="N14" i="8"/>
  <c r="J14" i="8"/>
  <c r="G14" i="8"/>
  <c r="F14" i="8"/>
  <c r="E14" i="8"/>
  <c r="C14" i="8"/>
  <c r="B14" i="8"/>
  <c r="AB14" i="8" s="1"/>
  <c r="B13" i="8"/>
  <c r="L13" i="8" s="1"/>
  <c r="AB12" i="8"/>
  <c r="AA12" i="8"/>
  <c r="Y12" i="8"/>
  <c r="W12" i="8"/>
  <c r="V12" i="8"/>
  <c r="T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B8" i="8"/>
  <c r="V8" i="8" s="1"/>
  <c r="Z7" i="8"/>
  <c r="Y7" i="8"/>
  <c r="U7" i="8"/>
  <c r="T7" i="8"/>
  <c r="O7" i="8"/>
  <c r="J7" i="8"/>
  <c r="G7" i="8"/>
  <c r="B7" i="8"/>
  <c r="P6" i="8"/>
  <c r="O6" i="8"/>
  <c r="F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V3" i="8"/>
  <c r="Q3" i="8"/>
  <c r="P3" i="8"/>
  <c r="O3" i="8"/>
  <c r="N3" i="8"/>
  <c r="M3" i="8"/>
  <c r="L3" i="8"/>
  <c r="K3" i="8"/>
  <c r="I3" i="8"/>
  <c r="H3" i="8"/>
  <c r="D3" i="8"/>
  <c r="C3" i="8"/>
  <c r="B3" i="8"/>
  <c r="B2" i="8"/>
  <c r="Z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Q17" i="7" s="1"/>
  <c r="N16" i="7"/>
  <c r="M16" i="7"/>
  <c r="L16" i="7"/>
  <c r="J16" i="7"/>
  <c r="H16" i="7"/>
  <c r="G16" i="7"/>
  <c r="B16" i="7"/>
  <c r="AA16" i="7" s="1"/>
  <c r="B15" i="7"/>
  <c r="Z15" i="7" s="1"/>
  <c r="AB14" i="7"/>
  <c r="AA14" i="7"/>
  <c r="Y14" i="7"/>
  <c r="X14" i="7"/>
  <c r="U14" i="7"/>
  <c r="T14" i="7"/>
  <c r="S14" i="7"/>
  <c r="R14" i="7"/>
  <c r="O14" i="7"/>
  <c r="B14" i="7"/>
  <c r="Q13" i="7"/>
  <c r="O13" i="7"/>
  <c r="N13" i="7"/>
  <c r="M13" i="7"/>
  <c r="J13" i="7"/>
  <c r="I13" i="7"/>
  <c r="H13" i="7"/>
  <c r="E13" i="7"/>
  <c r="B13" i="7"/>
  <c r="W13" i="7" s="1"/>
  <c r="W12" i="7"/>
  <c r="S12" i="7"/>
  <c r="R12" i="7"/>
  <c r="P12" i="7"/>
  <c r="N12" i="7"/>
  <c r="M12" i="7"/>
  <c r="L12" i="7"/>
  <c r="K12" i="7"/>
  <c r="J12" i="7"/>
  <c r="H12" i="7"/>
  <c r="F12" i="7"/>
  <c r="E12" i="7"/>
  <c r="C12" i="7"/>
  <c r="B12" i="7"/>
  <c r="O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V8" i="7"/>
  <c r="U8" i="7"/>
  <c r="Q8" i="7"/>
  <c r="P8" i="7"/>
  <c r="M8" i="7"/>
  <c r="L8" i="7"/>
  <c r="K8" i="7"/>
  <c r="I8" i="7"/>
  <c r="H8" i="7"/>
  <c r="G8" i="7"/>
  <c r="F8" i="7"/>
  <c r="E8" i="7"/>
  <c r="D8" i="7"/>
  <c r="C8" i="7"/>
  <c r="B8" i="7"/>
  <c r="T8" i="7" s="1"/>
  <c r="N7" i="7"/>
  <c r="L7" i="7"/>
  <c r="K7" i="7"/>
  <c r="J7" i="7"/>
  <c r="I7" i="7"/>
  <c r="H7" i="7"/>
  <c r="F7" i="7"/>
  <c r="E7" i="7"/>
  <c r="D7" i="7"/>
  <c r="B7" i="7"/>
  <c r="Y7" i="7" s="1"/>
  <c r="AB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P3" i="7" s="1"/>
  <c r="Z2" i="7"/>
  <c r="S2" i="7"/>
  <c r="R2" i="7"/>
  <c r="N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L17" i="6"/>
  <c r="H17" i="6"/>
  <c r="G17" i="6"/>
  <c r="F17" i="6"/>
  <c r="E17" i="6"/>
  <c r="D17" i="6"/>
  <c r="C17" i="6"/>
  <c r="B17" i="6"/>
  <c r="R17" i="6" s="1"/>
  <c r="E16" i="6"/>
  <c r="D16" i="6"/>
  <c r="C16" i="6"/>
  <c r="B16" i="6"/>
  <c r="K15" i="6"/>
  <c r="J15" i="6"/>
  <c r="I15" i="6"/>
  <c r="H15" i="6"/>
  <c r="G15" i="6"/>
  <c r="E15" i="6"/>
  <c r="D15" i="6"/>
  <c r="C15" i="6"/>
  <c r="B15" i="6"/>
  <c r="AB15" i="6" s="1"/>
  <c r="B14" i="6"/>
  <c r="AA14" i="6" s="1"/>
  <c r="Y13" i="6"/>
  <c r="V13" i="6"/>
  <c r="P13" i="6"/>
  <c r="M13" i="6"/>
  <c r="K13" i="6"/>
  <c r="I13" i="6"/>
  <c r="H13" i="6"/>
  <c r="G13" i="6"/>
  <c r="B13" i="6"/>
  <c r="AB12" i="6"/>
  <c r="Y12" i="6"/>
  <c r="W12" i="6"/>
  <c r="V12" i="6"/>
  <c r="U12" i="6"/>
  <c r="T12" i="6"/>
  <c r="S12" i="6"/>
  <c r="R12" i="6"/>
  <c r="P12" i="6"/>
  <c r="N12" i="6"/>
  <c r="L12" i="6"/>
  <c r="K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B8" i="6"/>
  <c r="B7" i="6"/>
  <c r="J7" i="6" s="1"/>
  <c r="B6" i="6"/>
  <c r="I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M3" i="6"/>
  <c r="L3" i="6"/>
  <c r="B3" i="6"/>
  <c r="O3" i="6" s="1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U17" i="5"/>
  <c r="T17" i="5"/>
  <c r="S17" i="5"/>
  <c r="R17" i="5"/>
  <c r="Q17" i="5"/>
  <c r="P17" i="5"/>
  <c r="O17" i="5"/>
  <c r="K17" i="5"/>
  <c r="J17" i="5"/>
  <c r="D17" i="5"/>
  <c r="B17" i="5"/>
  <c r="L17" i="5" s="1"/>
  <c r="B16" i="5"/>
  <c r="AB15" i="5"/>
  <c r="AA15" i="5"/>
  <c r="Z15" i="5"/>
  <c r="Y15" i="5"/>
  <c r="W15" i="5"/>
  <c r="V15" i="5"/>
  <c r="U15" i="5"/>
  <c r="T15" i="5"/>
  <c r="S15" i="5"/>
  <c r="Q15" i="5"/>
  <c r="P15" i="5"/>
  <c r="O15" i="5"/>
  <c r="B15" i="5"/>
  <c r="L15" i="5" s="1"/>
  <c r="B14" i="5"/>
  <c r="Y14" i="5" s="1"/>
  <c r="Z13" i="5"/>
  <c r="Y13" i="5"/>
  <c r="X13" i="5"/>
  <c r="R13" i="5"/>
  <c r="I13" i="5"/>
  <c r="G13" i="5"/>
  <c r="F13" i="5"/>
  <c r="B13" i="5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X7" i="5"/>
  <c r="V7" i="5"/>
  <c r="U7" i="5"/>
  <c r="N7" i="5"/>
  <c r="I7" i="5"/>
  <c r="B7" i="5"/>
  <c r="D7" i="5" s="1"/>
  <c r="W6" i="5"/>
  <c r="M6" i="5"/>
  <c r="K6" i="5"/>
  <c r="J6" i="5"/>
  <c r="I6" i="5"/>
  <c r="E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B3" i="5"/>
  <c r="W3" i="5" s="1"/>
  <c r="F2" i="5"/>
  <c r="D2" i="5"/>
  <c r="C2" i="5"/>
  <c r="B2" i="5"/>
  <c r="E2" i="5" s="1"/>
  <c r="B2" i="1"/>
  <c r="Y12" i="9" l="1"/>
  <c r="Z12" i="9"/>
  <c r="X12" i="9"/>
  <c r="W12" i="9"/>
  <c r="S12" i="9"/>
  <c r="O12" i="9"/>
  <c r="Y7" i="12"/>
  <c r="V7" i="12"/>
  <c r="S7" i="12"/>
  <c r="Z7" i="12"/>
  <c r="X7" i="12"/>
  <c r="W7" i="12"/>
  <c r="P7" i="12"/>
  <c r="K7" i="12"/>
  <c r="J7" i="12"/>
  <c r="I7" i="12"/>
  <c r="G7" i="12"/>
  <c r="F7" i="12"/>
  <c r="D7" i="12"/>
  <c r="O14" i="5"/>
  <c r="W14" i="5"/>
  <c r="F3" i="7"/>
  <c r="F13" i="8"/>
  <c r="G3" i="7"/>
  <c r="C17" i="7"/>
  <c r="M8" i="8"/>
  <c r="X6" i="18"/>
  <c r="AB14" i="5"/>
  <c r="P6" i="6"/>
  <c r="H14" i="6"/>
  <c r="M15" i="6"/>
  <c r="S17" i="6"/>
  <c r="K3" i="7"/>
  <c r="Q7" i="7"/>
  <c r="R13" i="7"/>
  <c r="J15" i="7"/>
  <c r="D17" i="7"/>
  <c r="K2" i="8"/>
  <c r="Q8" i="8"/>
  <c r="I13" i="8"/>
  <c r="V14" i="8"/>
  <c r="AA3" i="9"/>
  <c r="AA12" i="9"/>
  <c r="T14" i="9"/>
  <c r="N2" i="10"/>
  <c r="F15" i="12"/>
  <c r="J3" i="13"/>
  <c r="L12" i="13"/>
  <c r="C14" i="6"/>
  <c r="Z14" i="5"/>
  <c r="J6" i="6"/>
  <c r="D14" i="6"/>
  <c r="I2" i="8"/>
  <c r="AA6" i="7"/>
  <c r="N6" i="7"/>
  <c r="U6" i="7"/>
  <c r="S6" i="7"/>
  <c r="R6" i="7"/>
  <c r="P6" i="7"/>
  <c r="O6" i="7"/>
  <c r="V7" i="7"/>
  <c r="L15" i="7"/>
  <c r="F17" i="7"/>
  <c r="L2" i="8"/>
  <c r="R8" i="8"/>
  <c r="AB12" i="9"/>
  <c r="T13" i="8"/>
  <c r="W13" i="8"/>
  <c r="R13" i="8"/>
  <c r="O13" i="8"/>
  <c r="M13" i="8"/>
  <c r="N13" i="8"/>
  <c r="K13" i="8"/>
  <c r="J13" i="8"/>
  <c r="D2" i="8"/>
  <c r="E13" i="8"/>
  <c r="C3" i="13"/>
  <c r="X15" i="12"/>
  <c r="P15" i="12"/>
  <c r="L15" i="12"/>
  <c r="H15" i="12"/>
  <c r="E15" i="12"/>
  <c r="AB15" i="12"/>
  <c r="D15" i="12"/>
  <c r="AA15" i="12"/>
  <c r="Z15" i="12"/>
  <c r="V15" i="12"/>
  <c r="T15" i="12"/>
  <c r="S15" i="12"/>
  <c r="R15" i="12"/>
  <c r="Q15" i="12"/>
  <c r="O15" i="12"/>
  <c r="N15" i="12"/>
  <c r="M15" i="12"/>
  <c r="K15" i="12"/>
  <c r="I15" i="12"/>
  <c r="E3" i="13"/>
  <c r="L6" i="6"/>
  <c r="I15" i="7"/>
  <c r="U12" i="9"/>
  <c r="J12" i="13"/>
  <c r="T13" i="7"/>
  <c r="AB3" i="9"/>
  <c r="O12" i="13"/>
  <c r="C15" i="5"/>
  <c r="AB6" i="6"/>
  <c r="J14" i="6"/>
  <c r="O15" i="6"/>
  <c r="U17" i="6"/>
  <c r="M3" i="7"/>
  <c r="F6" i="7"/>
  <c r="W7" i="7"/>
  <c r="V13" i="7"/>
  <c r="M15" i="7"/>
  <c r="G17" i="7"/>
  <c r="M2" i="8"/>
  <c r="T8" i="8"/>
  <c r="P13" i="8"/>
  <c r="Y14" i="8"/>
  <c r="V14" i="9"/>
  <c r="Q2" i="11"/>
  <c r="N2" i="11"/>
  <c r="J15" i="12"/>
  <c r="R12" i="13"/>
  <c r="E6" i="18"/>
  <c r="J3" i="7"/>
  <c r="L3" i="14"/>
  <c r="G3" i="14"/>
  <c r="C3" i="14"/>
  <c r="Z3" i="14"/>
  <c r="Y3" i="14"/>
  <c r="X3" i="14"/>
  <c r="AB3" i="14"/>
  <c r="W3" i="14"/>
  <c r="V3" i="14"/>
  <c r="U3" i="14"/>
  <c r="T3" i="14"/>
  <c r="S3" i="14"/>
  <c r="P3" i="14"/>
  <c r="M3" i="14"/>
  <c r="E15" i="5"/>
  <c r="AB8" i="6"/>
  <c r="D8" i="6"/>
  <c r="L14" i="6"/>
  <c r="W15" i="6"/>
  <c r="W17" i="6"/>
  <c r="O3" i="7"/>
  <c r="I6" i="7"/>
  <c r="Z7" i="7"/>
  <c r="X13" i="7"/>
  <c r="P15" i="7"/>
  <c r="J17" i="7"/>
  <c r="P2" i="8"/>
  <c r="Z8" i="8"/>
  <c r="S13" i="8"/>
  <c r="AA14" i="8"/>
  <c r="Y14" i="9"/>
  <c r="Y15" i="12"/>
  <c r="U12" i="13"/>
  <c r="D3" i="14"/>
  <c r="C13" i="8"/>
  <c r="G2" i="8"/>
  <c r="H2" i="8"/>
  <c r="J12" i="9"/>
  <c r="E14" i="6"/>
  <c r="AA6" i="6"/>
  <c r="T17" i="6"/>
  <c r="L3" i="7"/>
  <c r="N15" i="7"/>
  <c r="N2" i="8"/>
  <c r="Q13" i="8"/>
  <c r="C8" i="6"/>
  <c r="M14" i="6"/>
  <c r="Y15" i="6"/>
  <c r="Z17" i="6"/>
  <c r="K6" i="7"/>
  <c r="AA7" i="7"/>
  <c r="X12" i="8"/>
  <c r="Z12" i="8"/>
  <c r="U12" i="8"/>
  <c r="R12" i="8"/>
  <c r="O12" i="8"/>
  <c r="Q12" i="8"/>
  <c r="H12" i="8"/>
  <c r="E12" i="8"/>
  <c r="U13" i="8"/>
  <c r="Z14" i="9"/>
  <c r="X14" i="10"/>
  <c r="M14" i="10"/>
  <c r="J14" i="10"/>
  <c r="I14" i="10"/>
  <c r="C14" i="10"/>
  <c r="Y14" i="10"/>
  <c r="U14" i="10"/>
  <c r="T14" i="10"/>
  <c r="S14" i="10"/>
  <c r="R14" i="10"/>
  <c r="Q14" i="10"/>
  <c r="P14" i="10"/>
  <c r="W12" i="13"/>
  <c r="E3" i="14"/>
  <c r="X3" i="7"/>
  <c r="V3" i="7"/>
  <c r="H3" i="7"/>
  <c r="Z3" i="7"/>
  <c r="U3" i="7"/>
  <c r="AB6" i="18"/>
  <c r="AA6" i="18"/>
  <c r="W6" i="18"/>
  <c r="Q6" i="18"/>
  <c r="P6" i="18"/>
  <c r="K6" i="18"/>
  <c r="J6" i="18"/>
  <c r="I6" i="18"/>
  <c r="E15" i="7"/>
  <c r="C15" i="12"/>
  <c r="R15" i="6"/>
  <c r="H6" i="7"/>
  <c r="I17" i="7"/>
  <c r="G12" i="5"/>
  <c r="F15" i="5"/>
  <c r="Z14" i="7"/>
  <c r="V14" i="7"/>
  <c r="Q14" i="7"/>
  <c r="L14" i="7"/>
  <c r="H14" i="7"/>
  <c r="D14" i="7"/>
  <c r="F14" i="7"/>
  <c r="Q15" i="7"/>
  <c r="K17" i="7"/>
  <c r="S2" i="8"/>
  <c r="H15" i="5"/>
  <c r="C3" i="6"/>
  <c r="E8" i="6"/>
  <c r="N14" i="6"/>
  <c r="Z15" i="6"/>
  <c r="AA17" i="6"/>
  <c r="S3" i="7"/>
  <c r="Q6" i="7"/>
  <c r="AB7" i="7"/>
  <c r="I14" i="7"/>
  <c r="R15" i="7"/>
  <c r="L17" i="7"/>
  <c r="W2" i="8"/>
  <c r="C12" i="8"/>
  <c r="V13" i="8"/>
  <c r="Z15" i="8"/>
  <c r="O15" i="8"/>
  <c r="P15" i="8"/>
  <c r="L15" i="8"/>
  <c r="J15" i="8"/>
  <c r="K15" i="8"/>
  <c r="H15" i="8"/>
  <c r="G15" i="8"/>
  <c r="AA14" i="9"/>
  <c r="D14" i="10"/>
  <c r="AB8" i="11"/>
  <c r="E8" i="11"/>
  <c r="X8" i="11"/>
  <c r="T8" i="11"/>
  <c r="C8" i="11"/>
  <c r="S8" i="11"/>
  <c r="F3" i="14"/>
  <c r="E6" i="6"/>
  <c r="Z2" i="17"/>
  <c r="W2" i="17"/>
  <c r="L2" i="17"/>
  <c r="I2" i="17"/>
  <c r="G2" i="17"/>
  <c r="F2" i="17"/>
  <c r="J2" i="17"/>
  <c r="L15" i="6"/>
  <c r="I14" i="6"/>
  <c r="D15" i="5"/>
  <c r="AB13" i="5"/>
  <c r="M13" i="5"/>
  <c r="K13" i="5"/>
  <c r="J13" i="5"/>
  <c r="H13" i="5"/>
  <c r="F3" i="6"/>
  <c r="G8" i="6"/>
  <c r="O14" i="6"/>
  <c r="AA15" i="6"/>
  <c r="AB17" i="6"/>
  <c r="T3" i="7"/>
  <c r="V6" i="7"/>
  <c r="J14" i="7"/>
  <c r="T15" i="7"/>
  <c r="M17" i="7"/>
  <c r="D12" i="8"/>
  <c r="X13" i="8"/>
  <c r="E15" i="8"/>
  <c r="E14" i="10"/>
  <c r="D8" i="11"/>
  <c r="I3" i="14"/>
  <c r="D14" i="5"/>
  <c r="V14" i="5"/>
  <c r="C15" i="18"/>
  <c r="AB15" i="18"/>
  <c r="AA15" i="18"/>
  <c r="Z15" i="18"/>
  <c r="Y15" i="18"/>
  <c r="X15" i="18"/>
  <c r="W15" i="18"/>
  <c r="S15" i="18"/>
  <c r="M15" i="18"/>
  <c r="K15" i="18"/>
  <c r="J15" i="18"/>
  <c r="E15" i="18"/>
  <c r="G13" i="8"/>
  <c r="AB12" i="10"/>
  <c r="Z12" i="10"/>
  <c r="AA12" i="10"/>
  <c r="G12" i="10"/>
  <c r="X15" i="5"/>
  <c r="R15" i="5"/>
  <c r="K15" i="5"/>
  <c r="J15" i="5"/>
  <c r="I15" i="5"/>
  <c r="G15" i="5"/>
  <c r="N15" i="6"/>
  <c r="K14" i="6"/>
  <c r="N3" i="7"/>
  <c r="W15" i="12"/>
  <c r="AB6" i="5"/>
  <c r="Z6" i="5"/>
  <c r="X6" i="5"/>
  <c r="R6" i="5"/>
  <c r="D13" i="5"/>
  <c r="M15" i="5"/>
  <c r="K3" i="6"/>
  <c r="H8" i="6"/>
  <c r="P14" i="6"/>
  <c r="AB3" i="7"/>
  <c r="W6" i="7"/>
  <c r="M14" i="7"/>
  <c r="U15" i="7"/>
  <c r="J3" i="8"/>
  <c r="G3" i="8"/>
  <c r="E3" i="8"/>
  <c r="AA3" i="8"/>
  <c r="W3" i="8"/>
  <c r="Z3" i="8"/>
  <c r="S3" i="8"/>
  <c r="R3" i="8"/>
  <c r="E6" i="8"/>
  <c r="N12" i="8"/>
  <c r="AA13" i="8"/>
  <c r="F15" i="8"/>
  <c r="AA15" i="9"/>
  <c r="Y15" i="9"/>
  <c r="Z15" i="9"/>
  <c r="M15" i="9"/>
  <c r="K15" i="9"/>
  <c r="F14" i="10"/>
  <c r="I8" i="11"/>
  <c r="AB13" i="11"/>
  <c r="Q13" i="11"/>
  <c r="K13" i="11"/>
  <c r="J13" i="11"/>
  <c r="AA13" i="11"/>
  <c r="Y13" i="11"/>
  <c r="Z13" i="11"/>
  <c r="X13" i="11"/>
  <c r="V13" i="11"/>
  <c r="U13" i="11"/>
  <c r="J3" i="14"/>
  <c r="O2" i="8"/>
  <c r="F2" i="8"/>
  <c r="C2" i="8"/>
  <c r="AA2" i="8"/>
  <c r="V2" i="8"/>
  <c r="T2" i="8"/>
  <c r="U2" i="8"/>
  <c r="R2" i="8"/>
  <c r="Q2" i="8"/>
  <c r="AB17" i="7"/>
  <c r="H17" i="7"/>
  <c r="E17" i="7"/>
  <c r="Z17" i="7"/>
  <c r="AA17" i="7"/>
  <c r="U17" i="7"/>
  <c r="T17" i="7"/>
  <c r="D15" i="18"/>
  <c r="V17" i="6"/>
  <c r="N15" i="5"/>
  <c r="AB13" i="6"/>
  <c r="T13" i="6"/>
  <c r="S13" i="6"/>
  <c r="R13" i="6"/>
  <c r="Q13" i="6"/>
  <c r="O13" i="6"/>
  <c r="N13" i="6"/>
  <c r="S14" i="6"/>
  <c r="X6" i="7"/>
  <c r="N14" i="7"/>
  <c r="V15" i="7"/>
  <c r="S17" i="7"/>
  <c r="S12" i="8"/>
  <c r="AB13" i="8"/>
  <c r="G14" i="10"/>
  <c r="J8" i="11"/>
  <c r="K3" i="14"/>
  <c r="AB14" i="15"/>
  <c r="E14" i="15"/>
  <c r="D14" i="15"/>
  <c r="H8" i="8"/>
  <c r="L8" i="8"/>
  <c r="AB12" i="13"/>
  <c r="X12" i="13"/>
  <c r="T12" i="13"/>
  <c r="M12" i="13"/>
  <c r="I12" i="13"/>
  <c r="H12" i="13"/>
  <c r="D12" i="13"/>
  <c r="V12" i="13"/>
  <c r="AA14" i="5"/>
  <c r="H13" i="8"/>
  <c r="Y2" i="7"/>
  <c r="M2" i="7"/>
  <c r="Q2" i="7"/>
  <c r="P2" i="7"/>
  <c r="O2" i="7"/>
  <c r="L2" i="7"/>
  <c r="K2" i="7"/>
  <c r="Z6" i="7"/>
  <c r="W15" i="7"/>
  <c r="V17" i="7"/>
  <c r="X14" i="8"/>
  <c r="Q14" i="8"/>
  <c r="U14" i="8"/>
  <c r="P14" i="8"/>
  <c r="M14" i="8"/>
  <c r="K14" i="8"/>
  <c r="L14" i="8"/>
  <c r="I14" i="8"/>
  <c r="H14" i="8"/>
  <c r="Q8" i="10"/>
  <c r="I8" i="10"/>
  <c r="U14" i="13"/>
  <c r="H14" i="13"/>
  <c r="Y14" i="13"/>
  <c r="T14" i="13"/>
  <c r="S14" i="13"/>
  <c r="R14" i="13"/>
  <c r="AA14" i="13"/>
  <c r="W14" i="13"/>
  <c r="V14" i="13"/>
  <c r="Q14" i="13"/>
  <c r="P14" i="13"/>
  <c r="N14" i="13"/>
  <c r="N3" i="14"/>
  <c r="AB13" i="14"/>
  <c r="Q13" i="14"/>
  <c r="E13" i="14"/>
  <c r="X13" i="14"/>
  <c r="S13" i="14"/>
  <c r="R13" i="14"/>
  <c r="N13" i="14"/>
  <c r="M14" i="15"/>
  <c r="U14" i="6"/>
  <c r="X14" i="6"/>
  <c r="F14" i="6"/>
  <c r="Y14" i="6"/>
  <c r="T14" i="6"/>
  <c r="W14" i="6"/>
  <c r="R14" i="6"/>
  <c r="Q14" i="6"/>
  <c r="Y15" i="7"/>
  <c r="G17" i="12"/>
  <c r="O17" i="12"/>
  <c r="V7" i="17"/>
  <c r="S7" i="17"/>
  <c r="R7" i="17"/>
  <c r="P7" i="17"/>
  <c r="J7" i="17"/>
  <c r="H7" i="17"/>
  <c r="F7" i="17"/>
  <c r="E7" i="17"/>
  <c r="D7" i="17"/>
  <c r="Z7" i="17"/>
  <c r="Y7" i="17"/>
  <c r="X7" i="17"/>
  <c r="W7" i="17"/>
  <c r="O6" i="6"/>
  <c r="M6" i="6"/>
  <c r="N6" i="6"/>
  <c r="K6" i="6"/>
  <c r="AA3" i="13"/>
  <c r="D3" i="13"/>
  <c r="W3" i="13"/>
  <c r="V3" i="13"/>
  <c r="AB3" i="13"/>
  <c r="P3" i="13"/>
  <c r="N3" i="13"/>
  <c r="M3" i="13"/>
  <c r="L3" i="13"/>
  <c r="K3" i="13"/>
  <c r="I3" i="13"/>
  <c r="AB14" i="6"/>
  <c r="X15" i="6"/>
  <c r="T15" i="6"/>
  <c r="F15" i="6"/>
  <c r="V15" i="6"/>
  <c r="U15" i="6"/>
  <c r="S15" i="6"/>
  <c r="Q15" i="6"/>
  <c r="P15" i="6"/>
  <c r="G7" i="7"/>
  <c r="M7" i="7"/>
  <c r="C7" i="7"/>
  <c r="U7" i="7"/>
  <c r="S7" i="7"/>
  <c r="R7" i="7"/>
  <c r="P7" i="7"/>
  <c r="O7" i="7"/>
  <c r="W7" i="8"/>
  <c r="S7" i="8"/>
  <c r="P7" i="8"/>
  <c r="Q7" i="8"/>
  <c r="M7" i="8"/>
  <c r="K7" i="8"/>
  <c r="D14" i="8"/>
  <c r="G8" i="10"/>
  <c r="T17" i="12"/>
  <c r="S2" i="13"/>
  <c r="D2" i="13"/>
  <c r="Z2" i="13"/>
  <c r="U2" i="13"/>
  <c r="P2" i="13"/>
  <c r="O2" i="13"/>
  <c r="V2" i="13"/>
  <c r="R2" i="13"/>
  <c r="M2" i="13"/>
  <c r="L2" i="13"/>
  <c r="J2" i="13"/>
  <c r="I2" i="13"/>
  <c r="H2" i="13"/>
  <c r="G2" i="13"/>
  <c r="F2" i="13"/>
  <c r="E2" i="13"/>
  <c r="C2" i="13"/>
  <c r="AB6" i="13"/>
  <c r="AA6" i="13"/>
  <c r="Z6" i="13"/>
  <c r="P6" i="13"/>
  <c r="O6" i="13"/>
  <c r="M6" i="13"/>
  <c r="J6" i="13"/>
  <c r="F14" i="13"/>
  <c r="K13" i="14"/>
  <c r="O14" i="15"/>
  <c r="G7" i="17"/>
  <c r="X15" i="7"/>
  <c r="S15" i="7"/>
  <c r="O15" i="7"/>
  <c r="K15" i="7"/>
  <c r="H15" i="7"/>
  <c r="F15" i="7"/>
  <c r="G15" i="7"/>
  <c r="AB15" i="7"/>
  <c r="D15" i="7"/>
  <c r="C15" i="7"/>
  <c r="AA15" i="7"/>
  <c r="N17" i="6"/>
  <c r="M17" i="6"/>
  <c r="X17" i="6"/>
  <c r="Q17" i="6"/>
  <c r="P17" i="6"/>
  <c r="O17" i="6"/>
  <c r="K17" i="6"/>
  <c r="J17" i="6"/>
  <c r="Z13" i="7"/>
  <c r="S13" i="7"/>
  <c r="K13" i="7"/>
  <c r="F13" i="7"/>
  <c r="AB13" i="7"/>
  <c r="AA13" i="7"/>
  <c r="X14" i="9"/>
  <c r="M14" i="9"/>
  <c r="I14" i="9"/>
  <c r="S14" i="9"/>
  <c r="O14" i="9"/>
  <c r="K14" i="9"/>
  <c r="J14" i="9"/>
  <c r="H14" i="9"/>
  <c r="F14" i="9"/>
  <c r="E14" i="9"/>
  <c r="W2" i="10"/>
  <c r="Y2" i="10"/>
  <c r="X2" i="10"/>
  <c r="G2" i="10"/>
  <c r="C2" i="10"/>
  <c r="AA2" i="10"/>
  <c r="Z2" i="10"/>
  <c r="K8" i="10"/>
  <c r="N2" i="13"/>
  <c r="G6" i="13"/>
  <c r="J14" i="13"/>
  <c r="K7" i="17"/>
  <c r="U6" i="14"/>
  <c r="Z6" i="14"/>
  <c r="S6" i="14"/>
  <c r="O6" i="14"/>
  <c r="L6" i="14"/>
  <c r="K6" i="14"/>
  <c r="J6" i="14"/>
  <c r="P2" i="15"/>
  <c r="Z6" i="16"/>
  <c r="V6" i="16"/>
  <c r="Q6" i="16"/>
  <c r="O6" i="16"/>
  <c r="K6" i="16"/>
  <c r="J6" i="16"/>
  <c r="H6" i="16"/>
  <c r="G6" i="16"/>
  <c r="F6" i="16"/>
  <c r="AB2" i="16"/>
  <c r="AA2" i="16"/>
  <c r="X2" i="16"/>
  <c r="W2" i="16"/>
  <c r="U2" i="16"/>
  <c r="AA17" i="17"/>
  <c r="Z17" i="17"/>
  <c r="Y17" i="17"/>
  <c r="W17" i="17"/>
  <c r="U17" i="17"/>
  <c r="R17" i="17"/>
  <c r="O17" i="17"/>
  <c r="M17" i="17"/>
  <c r="L17" i="17"/>
  <c r="AA7" i="19"/>
  <c r="R7" i="19"/>
  <c r="M7" i="19"/>
  <c r="L7" i="19"/>
  <c r="H7" i="19"/>
  <c r="G7" i="19"/>
  <c r="F7" i="19"/>
  <c r="C7" i="19"/>
  <c r="W13" i="13"/>
  <c r="Z13" i="13"/>
  <c r="U13" i="13"/>
  <c r="R13" i="13"/>
  <c r="Q13" i="13"/>
  <c r="P13" i="13"/>
  <c r="F6" i="14"/>
  <c r="R2" i="15"/>
  <c r="D2" i="16"/>
  <c r="I6" i="16"/>
  <c r="AB14" i="16"/>
  <c r="Y14" i="16"/>
  <c r="J14" i="16"/>
  <c r="E17" i="17"/>
  <c r="U7" i="19"/>
  <c r="T12" i="7"/>
  <c r="W14" i="11"/>
  <c r="X12" i="6"/>
  <c r="O12" i="6"/>
  <c r="N8" i="7"/>
  <c r="V12" i="7"/>
  <c r="Q7" i="9"/>
  <c r="Q15" i="10"/>
  <c r="N7" i="11"/>
  <c r="X14" i="11"/>
  <c r="F13" i="13"/>
  <c r="Q2" i="14"/>
  <c r="G2" i="14"/>
  <c r="AA2" i="14"/>
  <c r="Z2" i="14"/>
  <c r="Y2" i="14"/>
  <c r="G6" i="14"/>
  <c r="Z15" i="14"/>
  <c r="S2" i="15"/>
  <c r="K2" i="16"/>
  <c r="L6" i="16"/>
  <c r="C14" i="16"/>
  <c r="Q17" i="17"/>
  <c r="U3" i="11"/>
  <c r="Q3" i="11"/>
  <c r="P3" i="11"/>
  <c r="M12" i="11"/>
  <c r="C12" i="11"/>
  <c r="AB12" i="12"/>
  <c r="C12" i="12"/>
  <c r="G13" i="13"/>
  <c r="H6" i="14"/>
  <c r="Z2" i="15"/>
  <c r="P2" i="16"/>
  <c r="M6" i="16"/>
  <c r="F14" i="16"/>
  <c r="X17" i="17"/>
  <c r="D13" i="10"/>
  <c r="Y7" i="13"/>
  <c r="N7" i="13"/>
  <c r="H7" i="13"/>
  <c r="D7" i="13"/>
  <c r="H13" i="13"/>
  <c r="M6" i="14"/>
  <c r="Q2" i="16"/>
  <c r="N6" i="16"/>
  <c r="G14" i="16"/>
  <c r="X12" i="17"/>
  <c r="I12" i="17"/>
  <c r="F12" i="17"/>
  <c r="E12" i="17"/>
  <c r="D12" i="17"/>
  <c r="AB12" i="17"/>
  <c r="Z12" i="17"/>
  <c r="W12" i="17"/>
  <c r="V12" i="17"/>
  <c r="U12" i="17"/>
  <c r="Q12" i="17"/>
  <c r="AB17" i="17"/>
  <c r="X12" i="7"/>
  <c r="L3" i="5"/>
  <c r="R8" i="7"/>
  <c r="Y12" i="7"/>
  <c r="T7" i="9"/>
  <c r="F13" i="10"/>
  <c r="U15" i="10"/>
  <c r="D3" i="11"/>
  <c r="R7" i="11"/>
  <c r="F12" i="11"/>
  <c r="R15" i="11"/>
  <c r="Z12" i="12"/>
  <c r="C7" i="13"/>
  <c r="K13" i="13"/>
  <c r="N6" i="14"/>
  <c r="P3" i="15"/>
  <c r="J3" i="15"/>
  <c r="E3" i="15"/>
  <c r="Z3" i="15"/>
  <c r="Y3" i="15"/>
  <c r="X3" i="15"/>
  <c r="T2" i="16"/>
  <c r="S6" i="16"/>
  <c r="C12" i="17"/>
  <c r="C3" i="11"/>
  <c r="M3" i="5"/>
  <c r="AB12" i="7"/>
  <c r="H13" i="10"/>
  <c r="E3" i="11"/>
  <c r="G12" i="11"/>
  <c r="AA12" i="12"/>
  <c r="E7" i="13"/>
  <c r="M13" i="13"/>
  <c r="X15" i="13"/>
  <c r="H15" i="13"/>
  <c r="AB15" i="13"/>
  <c r="D15" i="13"/>
  <c r="W15" i="13"/>
  <c r="S15" i="13"/>
  <c r="R15" i="13"/>
  <c r="Q15" i="13"/>
  <c r="P6" i="14"/>
  <c r="C3" i="15"/>
  <c r="Y2" i="16"/>
  <c r="T6" i="16"/>
  <c r="G12" i="17"/>
  <c r="S14" i="11"/>
  <c r="AA14" i="11"/>
  <c r="P14" i="11"/>
  <c r="M14" i="11"/>
  <c r="L14" i="11"/>
  <c r="F7" i="13"/>
  <c r="N13" i="13"/>
  <c r="Q6" i="14"/>
  <c r="X15" i="14"/>
  <c r="T15" i="14"/>
  <c r="P15" i="14"/>
  <c r="L15" i="14"/>
  <c r="I15" i="14"/>
  <c r="H15" i="14"/>
  <c r="G15" i="14"/>
  <c r="D3" i="15"/>
  <c r="W6" i="16"/>
  <c r="H12" i="17"/>
  <c r="C14" i="11"/>
  <c r="M3" i="12"/>
  <c r="J3" i="12"/>
  <c r="I3" i="12"/>
  <c r="G7" i="13"/>
  <c r="O13" i="13"/>
  <c r="R6" i="14"/>
  <c r="Z7" i="16"/>
  <c r="AB7" i="16"/>
  <c r="V7" i="16"/>
  <c r="U7" i="16"/>
  <c r="P7" i="16"/>
  <c r="O7" i="16"/>
  <c r="L7" i="16"/>
  <c r="J7" i="16"/>
  <c r="I7" i="16"/>
  <c r="J12" i="17"/>
  <c r="J3" i="11"/>
  <c r="E14" i="11"/>
  <c r="F3" i="12"/>
  <c r="K14" i="12"/>
  <c r="I7" i="13"/>
  <c r="S13" i="13"/>
  <c r="T6" i="14"/>
  <c r="C7" i="16"/>
  <c r="M12" i="17"/>
  <c r="W2" i="18"/>
  <c r="Y2" i="18"/>
  <c r="X2" i="18"/>
  <c r="V2" i="18"/>
  <c r="S2" i="18"/>
  <c r="R2" i="18"/>
  <c r="P2" i="18"/>
  <c r="N2" i="18"/>
  <c r="M2" i="18"/>
  <c r="L2" i="18"/>
  <c r="G2" i="18"/>
  <c r="F2" i="18"/>
  <c r="X2" i="15"/>
  <c r="K2" i="15"/>
  <c r="G2" i="15"/>
  <c r="AB2" i="15"/>
  <c r="C2" i="15"/>
  <c r="Y2" i="15"/>
  <c r="V2" i="15"/>
  <c r="U2" i="15"/>
  <c r="D2" i="15"/>
  <c r="AA6" i="14"/>
  <c r="E2" i="15"/>
  <c r="R12" i="17"/>
  <c r="X17" i="18"/>
  <c r="U17" i="18"/>
  <c r="S17" i="18"/>
  <c r="R17" i="18"/>
  <c r="P17" i="18"/>
  <c r="O17" i="18"/>
  <c r="N17" i="18"/>
  <c r="L17" i="18"/>
  <c r="J17" i="18"/>
  <c r="I17" i="18"/>
  <c r="G17" i="18"/>
  <c r="E17" i="18"/>
  <c r="D17" i="18"/>
  <c r="C17" i="18"/>
  <c r="AB17" i="18"/>
  <c r="AA17" i="18"/>
  <c r="Y17" i="18"/>
  <c r="W17" i="18"/>
  <c r="X8" i="7"/>
  <c r="J8" i="7"/>
  <c r="AB8" i="7"/>
  <c r="G12" i="7"/>
  <c r="Y7" i="9"/>
  <c r="W7" i="9"/>
  <c r="X15" i="10"/>
  <c r="I15" i="10"/>
  <c r="F15" i="10"/>
  <c r="E15" i="10"/>
  <c r="R3" i="11"/>
  <c r="Q7" i="11"/>
  <c r="H7" i="11"/>
  <c r="W7" i="11"/>
  <c r="T7" i="11"/>
  <c r="S7" i="11"/>
  <c r="T12" i="11"/>
  <c r="I14" i="11"/>
  <c r="N3" i="12"/>
  <c r="W14" i="12"/>
  <c r="S7" i="13"/>
  <c r="Y13" i="13"/>
  <c r="K15" i="13"/>
  <c r="Z7" i="14"/>
  <c r="AB7" i="14"/>
  <c r="V7" i="14"/>
  <c r="O7" i="14"/>
  <c r="L7" i="14"/>
  <c r="K7" i="14"/>
  <c r="J7" i="14"/>
  <c r="K15" i="14"/>
  <c r="F2" i="15"/>
  <c r="M3" i="15"/>
  <c r="G8" i="15"/>
  <c r="D8" i="15"/>
  <c r="C8" i="15"/>
  <c r="AA8" i="15"/>
  <c r="Z8" i="15"/>
  <c r="X8" i="15"/>
  <c r="W8" i="15"/>
  <c r="T8" i="15"/>
  <c r="G7" i="16"/>
  <c r="AB12" i="16"/>
  <c r="W12" i="16"/>
  <c r="K12" i="16"/>
  <c r="S12" i="17"/>
  <c r="O2" i="18"/>
  <c r="M17" i="18"/>
  <c r="AB8" i="18"/>
  <c r="Y12" i="18"/>
  <c r="H2" i="19"/>
  <c r="K3" i="19"/>
  <c r="N6" i="19"/>
  <c r="M8" i="19"/>
  <c r="C12" i="19"/>
  <c r="K13" i="19"/>
  <c r="T14" i="19"/>
  <c r="K3" i="18"/>
  <c r="C8" i="18"/>
  <c r="Z12" i="18"/>
  <c r="M2" i="19"/>
  <c r="M3" i="19"/>
  <c r="O6" i="19"/>
  <c r="N8" i="19"/>
  <c r="E12" i="19"/>
  <c r="L13" i="19"/>
  <c r="U14" i="19"/>
  <c r="M3" i="18"/>
  <c r="D8" i="18"/>
  <c r="N2" i="19"/>
  <c r="N3" i="19"/>
  <c r="R6" i="19"/>
  <c r="O8" i="19"/>
  <c r="F12" i="19"/>
  <c r="M13" i="19"/>
  <c r="V14" i="19"/>
  <c r="O2" i="19"/>
  <c r="P3" i="19"/>
  <c r="W6" i="19"/>
  <c r="P8" i="19"/>
  <c r="G12" i="19"/>
  <c r="O13" i="19"/>
  <c r="AB14" i="19"/>
  <c r="W6" i="15"/>
  <c r="T7" i="15"/>
  <c r="Z12" i="15"/>
  <c r="Z13" i="15"/>
  <c r="AA15" i="15"/>
  <c r="H8" i="17"/>
  <c r="H15" i="17"/>
  <c r="Q3" i="18"/>
  <c r="G8" i="18"/>
  <c r="H13" i="18"/>
  <c r="R2" i="19"/>
  <c r="R3" i="19"/>
  <c r="R8" i="19"/>
  <c r="I12" i="19"/>
  <c r="Q13" i="19"/>
  <c r="C15" i="19"/>
  <c r="Y8" i="9"/>
  <c r="P6" i="11"/>
  <c r="V8" i="12"/>
  <c r="D8" i="13"/>
  <c r="X6" i="15"/>
  <c r="U7" i="15"/>
  <c r="AA12" i="15"/>
  <c r="AA13" i="15"/>
  <c r="J8" i="17"/>
  <c r="I15" i="17"/>
  <c r="R3" i="18"/>
  <c r="J8" i="18"/>
  <c r="P13" i="18"/>
  <c r="S2" i="19"/>
  <c r="S3" i="19"/>
  <c r="S8" i="19"/>
  <c r="J12" i="19"/>
  <c r="T13" i="19"/>
  <c r="E15" i="19"/>
  <c r="Q6" i="11"/>
  <c r="W8" i="12"/>
  <c r="E8" i="13"/>
  <c r="V7" i="15"/>
  <c r="AB13" i="15"/>
  <c r="N8" i="17"/>
  <c r="N15" i="17"/>
  <c r="S3" i="18"/>
  <c r="K8" i="18"/>
  <c r="U2" i="19"/>
  <c r="T3" i="19"/>
  <c r="T8" i="19"/>
  <c r="L12" i="19"/>
  <c r="V13" i="19"/>
  <c r="F15" i="19"/>
  <c r="V2" i="19"/>
  <c r="U3" i="19"/>
  <c r="V8" i="19"/>
  <c r="P12" i="19"/>
  <c r="W13" i="19"/>
  <c r="G15" i="19"/>
  <c r="Y7" i="15"/>
  <c r="P8" i="17"/>
  <c r="W3" i="18"/>
  <c r="N8" i="18"/>
  <c r="H14" i="18"/>
  <c r="W2" i="19"/>
  <c r="V3" i="19"/>
  <c r="Q12" i="19"/>
  <c r="J15" i="19"/>
  <c r="G17" i="9"/>
  <c r="U6" i="11"/>
  <c r="Z8" i="12"/>
  <c r="I8" i="13"/>
  <c r="C7" i="15"/>
  <c r="Z7" i="15"/>
  <c r="G12" i="15"/>
  <c r="E13" i="15"/>
  <c r="Q8" i="17"/>
  <c r="Y3" i="18"/>
  <c r="O8" i="18"/>
  <c r="L14" i="18"/>
  <c r="X2" i="19"/>
  <c r="W3" i="19"/>
  <c r="Y8" i="19"/>
  <c r="R12" i="19"/>
  <c r="Z13" i="19"/>
  <c r="L15" i="19"/>
  <c r="C17" i="19"/>
  <c r="P8" i="18"/>
  <c r="Q14" i="18"/>
  <c r="Z2" i="19"/>
  <c r="Y3" i="19"/>
  <c r="Z8" i="19"/>
  <c r="T12" i="19"/>
  <c r="AA13" i="19"/>
  <c r="M15" i="19"/>
  <c r="E17" i="19"/>
  <c r="O15" i="19"/>
  <c r="F17" i="19"/>
  <c r="T8" i="17"/>
  <c r="D13" i="17"/>
  <c r="R8" i="18"/>
  <c r="U14" i="18"/>
  <c r="AA3" i="19"/>
  <c r="AB8" i="19"/>
  <c r="V12" i="19"/>
  <c r="F14" i="19"/>
  <c r="P15" i="19"/>
  <c r="G17" i="19"/>
  <c r="R8" i="13"/>
  <c r="G7" i="15"/>
  <c r="C17" i="16"/>
  <c r="U8" i="17"/>
  <c r="N13" i="17"/>
  <c r="S8" i="18"/>
  <c r="V14" i="18"/>
  <c r="C3" i="19"/>
  <c r="AB3" i="19"/>
  <c r="C8" i="19"/>
  <c r="Y12" i="19"/>
  <c r="G14" i="19"/>
  <c r="Q15" i="19"/>
  <c r="M17" i="19"/>
  <c r="H7" i="15"/>
  <c r="D17" i="16"/>
  <c r="V8" i="17"/>
  <c r="Q13" i="17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V8" i="18"/>
  <c r="AA14" i="18"/>
  <c r="F3" i="19"/>
  <c r="D6" i="19"/>
  <c r="K14" i="19"/>
  <c r="AA15" i="19"/>
  <c r="R17" i="19"/>
  <c r="W8" i="13"/>
  <c r="K7" i="15"/>
  <c r="O12" i="15"/>
  <c r="AA8" i="17"/>
  <c r="D3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<sst xmlns="http://schemas.openxmlformats.org/spreadsheetml/2006/main" count="3113" uniqueCount="587">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</sst>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99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MI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4.5606141755963336E-2</v>
      </c>
      <c r="C2" s="7">
        <f>$B2 * IFERROR(VLOOKUP("transport|PM25|Premature mortality", US_national_yearly!$D:$AM, 11, FALSE) / VLOOKUP("transport|PM25|Premature mortality", US_national_yearly!$D:$AM, 10, FALSE), 1)</f>
        <v>4.6171557968510003E-2</v>
      </c>
      <c r="D2" s="7">
        <f>$B2 * IFERROR(VLOOKUP("transport|PM25|Premature mortality", US_national_yearly!$D:$AM, 12, FALSE) / VLOOKUP("transport|PM25|Premature mortality", US_national_yearly!$D:$AM, 10, FALSE), 1)</f>
        <v>4.6736974181056656E-2</v>
      </c>
      <c r="E2" s="7">
        <f>$B2 * IFERROR(VLOOKUP("transport|PM25|Premature mortality", US_national_yearly!$D:$AM, 13, FALSE) / VLOOKUP("transport|PM25|Premature mortality", US_national_yearly!$D:$AM, 10, FALSE), 1)</f>
        <v>4.7302390393603309E-2</v>
      </c>
      <c r="F2" s="7">
        <f>$B2 * IFERROR(VLOOKUP("transport|PM25|Premature mortality", US_national_yearly!$D:$AM, 14, FALSE) / VLOOKUP("transport|PM25|Premature mortality", US_national_yearly!$D:$AM, 10, FALSE), 1)</f>
        <v>4.7867806606149969E-2</v>
      </c>
      <c r="G2" s="7">
        <f>$B2 * IFERROR(VLOOKUP("transport|PM25|Premature mortality", US_national_yearly!$D:$AM, 15, FALSE) / VLOOKUP("transport|PM25|Premature mortality", US_national_yearly!$D:$AM, 10, FALSE), 1)</f>
        <v>4.8968950415816448E-2</v>
      </c>
      <c r="H2" s="7">
        <f>$B2 * IFERROR(VLOOKUP("transport|PM25|Premature mortality", US_national_yearly!$D:$AM, 16, FALSE) / VLOOKUP("transport|PM25|Premature mortality", US_national_yearly!$D:$AM, 10, FALSE), 1)</f>
        <v>5.0070094225482933E-2</v>
      </c>
      <c r="I2" s="7">
        <f>$B2 * IFERROR(VLOOKUP("transport|PM25|Premature mortality", US_national_yearly!$D:$AM, 17, FALSE) / VLOOKUP("transport|PM25|Premature mortality", US_national_yearly!$D:$AM, 10, FALSE), 1)</f>
        <v>5.079337183246968E-2</v>
      </c>
      <c r="J2" s="7">
        <f>$B2 * IFERROR(VLOOKUP("transport|PM25|Premature mortality", US_national_yearly!$D:$AM, 18, FALSE) / VLOOKUP("transport|PM25|Premature mortality", US_national_yearly!$D:$AM, 10, FALSE), 1)</f>
        <v>5.1516649439456441E-2</v>
      </c>
      <c r="K2" s="7">
        <f>$B2 * IFERROR(VLOOKUP("transport|PM25|Premature mortality", US_national_yearly!$D:$AM, 19, FALSE) / VLOOKUP("transport|PM25|Premature mortality", US_national_yearly!$D:$AM, 10, FALSE), 1)</f>
        <v>5.2239927046443202E-2</v>
      </c>
      <c r="L2" s="7">
        <f>$B2 * IFERROR(VLOOKUP("transport|PM25|Premature mortality", US_national_yearly!$D:$AM, 20, FALSE) / VLOOKUP("transport|PM25|Premature mortality", US_national_yearly!$D:$AM, 10, FALSE), 1)</f>
        <v>5.2963204653429963E-2</v>
      </c>
      <c r="M2" s="7">
        <f>$B2 * IFERROR(VLOOKUP("transport|PM25|Premature mortality", US_national_yearly!$D:$AM, 21, FALSE) / VLOOKUP("transport|PM25|Premature mortality", US_national_yearly!$D:$AM, 10, FALSE), 1)</f>
        <v>5.3686482260416717E-2</v>
      </c>
      <c r="N2" s="7">
        <f>$B2 * IFERROR(VLOOKUP("transport|PM25|Premature mortality", US_national_yearly!$D:$AM, 22, FALSE) / VLOOKUP("transport|PM25|Premature mortality", US_national_yearly!$D:$AM, 10, FALSE), 1)</f>
        <v>5.4248061289933411E-2</v>
      </c>
      <c r="O2" s="7">
        <f>$B2 * IFERROR(VLOOKUP("transport|PM25|Premature mortality", US_national_yearly!$D:$AM, 23, FALSE) / VLOOKUP("transport|PM25|Premature mortality", US_national_yearly!$D:$AM, 10, FALSE), 1)</f>
        <v>5.4809640319450105E-2</v>
      </c>
      <c r="P2" s="7">
        <f>$B2 * IFERROR(VLOOKUP("transport|PM25|Premature mortality", US_national_yearly!$D:$AM, 24, FALSE) / VLOOKUP("transport|PM25|Premature mortality", US_national_yearly!$D:$AM, 10, FALSE), 1)</f>
        <v>5.5371219348966792E-2</v>
      </c>
      <c r="Q2" s="7">
        <f>$B2 * IFERROR(VLOOKUP("transport|PM25|Premature mortality", US_national_yearly!$D:$AM, 25, FALSE) / VLOOKUP("transport|PM25|Premature mortality", US_national_yearly!$D:$AM, 10, FALSE), 1)</f>
        <v>5.5932798378483486E-2</v>
      </c>
      <c r="R2" s="7">
        <f>$B2 * IFERROR(VLOOKUP("transport|PM25|Premature mortality", US_national_yearly!$D:$AM, 26, FALSE) / VLOOKUP("transport|PM25|Premature mortality", US_national_yearly!$D:$AM, 10, FALSE), 1)</f>
        <v>5.6494377408000188E-2</v>
      </c>
      <c r="S2" s="7">
        <f>$B2 * IFERROR(VLOOKUP("transport|PM25|Premature mortality", US_national_yearly!$D:$AM, 27, FALSE) / VLOOKUP("transport|PM25|Premature mortality", US_national_yearly!$D:$AM, 10, FALSE), 1)</f>
        <v>5.6791885292769045E-2</v>
      </c>
      <c r="T2" s="7">
        <f>$B2 * IFERROR(VLOOKUP("transport|PM25|Premature mortality", US_national_yearly!$D:$AM, 28, FALSE) / VLOOKUP("transport|PM25|Premature mortality", US_national_yearly!$D:$AM, 10, FALSE), 1)</f>
        <v>5.7089393177537889E-2</v>
      </c>
      <c r="U2" s="7">
        <f>$B2 * IFERROR(VLOOKUP("transport|PM25|Premature mortality", US_national_yearly!$D:$AM, 29, FALSE) / VLOOKUP("transport|PM25|Premature mortality", US_national_yearly!$D:$AM, 10, FALSE), 1)</f>
        <v>5.7386901062306733E-2</v>
      </c>
      <c r="V2" s="7">
        <f>$B2 * IFERROR(VLOOKUP("transport|PM25|Premature mortality", US_national_yearly!$D:$AM, 30, FALSE) / VLOOKUP("transport|PM25|Premature mortality", US_national_yearly!$D:$AM, 10, FALSE), 1)</f>
        <v>5.7684408947075577E-2</v>
      </c>
      <c r="W2" s="7">
        <f>$B2 * IFERROR(VLOOKUP("transport|PM25|Premature mortality", US_national_yearly!$D:$AM, 31, FALSE) / VLOOKUP("transport|PM25|Premature mortality", US_national_yearly!$D:$AM, 10, FALSE), 1)</f>
        <v>5.7981916831844421E-2</v>
      </c>
      <c r="X2" s="7">
        <f>$B2 * IFERROR(VLOOKUP("transport|PM25|Premature mortality", US_national_yearly!$D:$AM, 32, FALSE) / VLOOKUP("transport|PM25|Premature mortality", US_national_yearly!$D:$AM, 10, FALSE), 1)</f>
        <v>5.8033938386879168E-2</v>
      </c>
      <c r="Y2" s="7">
        <f>$B2 * IFERROR(VLOOKUP("transport|PM25|Premature mortality", US_national_yearly!$D:$AM, 33, FALSE) / VLOOKUP("transport|PM25|Premature mortality", US_national_yearly!$D:$AM, 10, FALSE), 1)</f>
        <v>5.8085959941913928E-2</v>
      </c>
      <c r="Z2" s="7">
        <f>$B2 * IFERROR(VLOOKUP("transport|PM25|Premature mortality", US_national_yearly!$D:$AM, 34, FALSE) / VLOOKUP("transport|PM25|Premature mortality", US_national_yearly!$D:$AM, 10, FALSE), 1)</f>
        <v>5.8137981496948675E-2</v>
      </c>
      <c r="AA2" s="7">
        <f>$B2 * IFERROR(VLOOKUP("transport|PM25|Premature mortality", US_national_yearly!$D:$AM, 35, FALSE) / VLOOKUP("transport|PM25|Premature mortality", US_national_yearly!$D:$AM, 10, FALSE), 1)</f>
        <v>5.8190003051983435E-2</v>
      </c>
      <c r="AB2" s="7">
        <f>$B2 * IFERROR(VLOOKUP("transport|PM25|Premature mortality", US_national_yearly!$D:$AM, 36, FALSE) / VLOOKUP("transport|PM25|Premature mortality", US_national_yearly!$D:$AM, 10, FALSE), 1)</f>
        <v>5.8242024607018182E-2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1.1234423570788513E-4</v>
      </c>
      <c r="C3" s="7">
        <f>$B3 * IFERROR(VLOOKUP("transport|PM25|Infant mortality", US_national_yearly!$D:$AM, 11, FALSE) / VLOOKUP("transport|PM25|Infant mortality", US_national_yearly!$D:$AM, 10, FALSE), 1)</f>
        <v>1.1136469648735816E-4</v>
      </c>
      <c r="D3" s="7">
        <f>$B3 * IFERROR(VLOOKUP("transport|PM25|Infant mortality", US_national_yearly!$D:$AM, 12, FALSE) / VLOOKUP("transport|PM25|Infant mortality", US_national_yearly!$D:$AM, 10, FALSE), 1)</f>
        <v>1.1038515726683118E-4</v>
      </c>
      <c r="E3" s="7">
        <f>$B3 * IFERROR(VLOOKUP("transport|PM25|Infant mortality", US_national_yearly!$D:$AM, 13, FALSE) / VLOOKUP("transport|PM25|Infant mortality", US_national_yearly!$D:$AM, 10, FALSE), 1)</f>
        <v>1.0940561804630421E-4</v>
      </c>
      <c r="F3" s="7">
        <f>$B3 * IFERROR(VLOOKUP("transport|PM25|Infant mortality", US_national_yearly!$D:$AM, 14, FALSE) / VLOOKUP("transport|PM25|Infant mortality", US_national_yearly!$D:$AM, 10, FALSE), 1)</f>
        <v>1.0842607882577723E-4</v>
      </c>
      <c r="G3" s="7">
        <f>$B3 * IFERROR(VLOOKUP("transport|PM25|Infant mortality", US_national_yearly!$D:$AM, 15, FALSE) / VLOOKUP("transport|PM25|Infant mortality", US_national_yearly!$D:$AM, 10, FALSE), 1)</f>
        <v>7.210914234218876E-5</v>
      </c>
      <c r="H3" s="7">
        <f>$B3 * IFERROR(VLOOKUP("transport|PM25|Infant mortality", US_national_yearly!$D:$AM, 16, FALSE) / VLOOKUP("transport|PM25|Infant mortality", US_national_yearly!$D:$AM, 10, FALSE), 1)</f>
        <v>3.5792205858600266E-5</v>
      </c>
      <c r="I3" s="7">
        <f>$B3 * IFERROR(VLOOKUP("transport|PM25|Infant mortality", US_national_yearly!$D:$AM, 17, FALSE) / VLOOKUP("transport|PM25|Infant mortality", US_national_yearly!$D:$AM, 10, FALSE), 1)</f>
        <v>3.5558244669862869E-5</v>
      </c>
      <c r="J3" s="7">
        <f>$B3 * IFERROR(VLOOKUP("transport|PM25|Infant mortality", US_national_yearly!$D:$AM, 18, FALSE) / VLOOKUP("transport|PM25|Infant mortality", US_national_yearly!$D:$AM, 10, FALSE), 1)</f>
        <v>3.5324283481125465E-5</v>
      </c>
      <c r="K3" s="7">
        <f>$B3 * IFERROR(VLOOKUP("transport|PM25|Infant mortality", US_national_yearly!$D:$AM, 19, FALSE) / VLOOKUP("transport|PM25|Infant mortality", US_national_yearly!$D:$AM, 10, FALSE), 1)</f>
        <v>3.5090322292388061E-5</v>
      </c>
      <c r="L3" s="7">
        <f>$B3 * IFERROR(VLOOKUP("transport|PM25|Infant mortality", US_national_yearly!$D:$AM, 20, FALSE) / VLOOKUP("transport|PM25|Infant mortality", US_national_yearly!$D:$AM, 10, FALSE), 1)</f>
        <v>3.485636110365067E-5</v>
      </c>
      <c r="M3" s="7">
        <f>$B3 * IFERROR(VLOOKUP("transport|PM25|Infant mortality", US_national_yearly!$D:$AM, 21, FALSE) / VLOOKUP("transport|PM25|Infant mortality", US_national_yearly!$D:$AM, 10, FALSE), 1)</f>
        <v>3.4622399914913273E-5</v>
      </c>
      <c r="N3" s="7">
        <f>$B3 * IFERROR(VLOOKUP("transport|PM25|Infant mortality", US_national_yearly!$D:$AM, 22, FALSE) / VLOOKUP("transport|PM25|Infant mortality", US_national_yearly!$D:$AM, 10, FALSE), 1)</f>
        <v>3.447544638635288E-5</v>
      </c>
      <c r="O3" s="7">
        <f>$B3 * IFERROR(VLOOKUP("transport|PM25|Infant mortality", US_national_yearly!$D:$AM, 23, FALSE) / VLOOKUP("transport|PM25|Infant mortality", US_national_yearly!$D:$AM, 10, FALSE), 1)</f>
        <v>3.4328492857792495E-5</v>
      </c>
      <c r="P3" s="7">
        <f>$B3 * IFERROR(VLOOKUP("transport|PM25|Infant mortality", US_national_yearly!$D:$AM, 24, FALSE) / VLOOKUP("transport|PM25|Infant mortality", US_national_yearly!$D:$AM, 10, FALSE), 1)</f>
        <v>3.4181539329232103E-5</v>
      </c>
      <c r="Q3" s="7">
        <f>$B3 * IFERROR(VLOOKUP("transport|PM25|Infant mortality", US_national_yearly!$D:$AM, 25, FALSE) / VLOOKUP("transport|PM25|Infant mortality", US_national_yearly!$D:$AM, 10, FALSE), 1)</f>
        <v>3.4034585800671717E-5</v>
      </c>
      <c r="R3" s="7">
        <f>$B3 * IFERROR(VLOOKUP("transport|PM25|Infant mortality", US_national_yearly!$D:$AM, 26, FALSE) / VLOOKUP("transport|PM25|Infant mortality", US_national_yearly!$D:$AM, 10, FALSE), 1)</f>
        <v>3.3887632272111325E-5</v>
      </c>
      <c r="S3" s="7">
        <f>$B3 * IFERROR(VLOOKUP("transport|PM25|Infant mortality", US_national_yearly!$D:$AM, 27, FALSE) / VLOOKUP("transport|PM25|Infant mortality", US_national_yearly!$D:$AM, 10, FALSE), 1)</f>
        <v>3.3704451694060987E-5</v>
      </c>
      <c r="T3" s="7">
        <f>$B3 * IFERROR(VLOOKUP("transport|PM25|Infant mortality", US_national_yearly!$D:$AM, 28, FALSE) / VLOOKUP("transport|PM25|Infant mortality", US_national_yearly!$D:$AM, 10, FALSE), 1)</f>
        <v>3.3521271116010636E-5</v>
      </c>
      <c r="U3" s="7">
        <f>$B3 * IFERROR(VLOOKUP("transport|PM25|Infant mortality", US_national_yearly!$D:$AM, 29, FALSE) / VLOOKUP("transport|PM25|Infant mortality", US_national_yearly!$D:$AM, 10, FALSE), 1)</f>
        <v>3.3338090537960299E-5</v>
      </c>
      <c r="V3" s="7">
        <f>$B3 * IFERROR(VLOOKUP("transport|PM25|Infant mortality", US_national_yearly!$D:$AM, 30, FALSE) / VLOOKUP("transport|PM25|Infant mortality", US_national_yearly!$D:$AM, 10, FALSE), 1)</f>
        <v>3.3154909959909955E-5</v>
      </c>
      <c r="W3" s="7">
        <f>$B3 * IFERROR(VLOOKUP("transport|PM25|Infant mortality", US_national_yearly!$D:$AM, 31, FALSE) / VLOOKUP("transport|PM25|Infant mortality", US_national_yearly!$D:$AM, 10, FALSE), 1)</f>
        <v>3.2971729381859611E-5</v>
      </c>
      <c r="X3" s="7">
        <f>$B3 * IFERROR(VLOOKUP("transport|PM25|Infant mortality", US_national_yearly!$D:$AM, 32, FALSE) / VLOOKUP("transport|PM25|Infant mortality", US_national_yearly!$D:$AM, 10, FALSE), 1)</f>
        <v>3.2774237695338111E-5</v>
      </c>
      <c r="Y3" s="7">
        <f>$B3 * IFERROR(VLOOKUP("transport|PM25|Infant mortality", US_national_yearly!$D:$AM, 33, FALSE) / VLOOKUP("transport|PM25|Infant mortality", US_national_yearly!$D:$AM, 10, FALSE), 1)</f>
        <v>3.2576746008816605E-5</v>
      </c>
      <c r="Z3" s="7">
        <f>$B3 * IFERROR(VLOOKUP("transport|PM25|Infant mortality", US_national_yearly!$D:$AM, 34, FALSE) / VLOOKUP("transport|PM25|Infant mortality", US_national_yearly!$D:$AM, 10, FALSE), 1)</f>
        <v>3.2379254322295106E-5</v>
      </c>
      <c r="AA3" s="7">
        <f>$B3 * IFERROR(VLOOKUP("transport|PM25|Infant mortality", US_national_yearly!$D:$AM, 35, FALSE) / VLOOKUP("transport|PM25|Infant mortality", US_national_yearly!$D:$AM, 10, FALSE), 1)</f>
        <v>3.2181762635773599E-5</v>
      </c>
      <c r="AB3" s="7">
        <f>$B3 * IFERROR(VLOOKUP("transport|PM25|Infant mortality", US_national_yearly!$D:$AM, 36, FALSE) / VLOOKUP("transport|PM25|Infant mortality", US_national_yearly!$D:$AM, 10, FALSE), 1)</f>
        <v>3.1984270949252107E-5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9.9799592267737741E-2</v>
      </c>
      <c r="C6" s="7">
        <f>$B6 * IFERROR(VLOOKUP("transport|PM25|Asthma symptoms cough", US_national_yearly!$D:$AM, 11, FALSE) / VLOOKUP("transport|PM25|Asthma symptoms cough", US_national_yearly!$D:$AM, 10, FALSE), 1)</f>
        <v>9.9799592267737741E-2</v>
      </c>
      <c r="D6" s="7">
        <f>$B6 * IFERROR(VLOOKUP("transport|PM25|Asthma symptoms cough", US_national_yearly!$D:$AM, 12, FALSE) / VLOOKUP("transport|PM25|Asthma symptoms cough", US_national_yearly!$D:$AM, 10, FALSE), 1)</f>
        <v>9.9799592267737741E-2</v>
      </c>
      <c r="E6" s="7">
        <f>$B6 * IFERROR(VLOOKUP("transport|PM25|Asthma symptoms cough", US_national_yearly!$D:$AM, 13, FALSE) / VLOOKUP("transport|PM25|Asthma symptoms cough", US_national_yearly!$D:$AM, 10, FALSE), 1)</f>
        <v>9.9799592267737741E-2</v>
      </c>
      <c r="F6" s="7">
        <f>$B6 * IFERROR(VLOOKUP("transport|PM25|Asthma symptoms cough", US_national_yearly!$D:$AM, 14, FALSE) / VLOOKUP("transport|PM25|Asthma symptoms cough", US_national_yearly!$D:$AM, 10, FALSE), 1)</f>
        <v>9.9799592267737741E-2</v>
      </c>
      <c r="G6" s="7">
        <f>$B6 * IFERROR(VLOOKUP("transport|PM25|Asthma symptoms cough", US_national_yearly!$D:$AM, 15, FALSE) / VLOOKUP("transport|PM25|Asthma symptoms cough", US_national_yearly!$D:$AM, 10, FALSE), 1)</f>
        <v>9.9799592267737741E-2</v>
      </c>
      <c r="H6" s="7">
        <f>$B6 * IFERROR(VLOOKUP("transport|PM25|Asthma symptoms cough", US_national_yearly!$D:$AM, 16, FALSE) / VLOOKUP("transport|PM25|Asthma symptoms cough", US_national_yearly!$D:$AM, 10, FALSE), 1)</f>
        <v>9.9799592267737741E-2</v>
      </c>
      <c r="I6" s="7">
        <f>$B6 * IFERROR(VLOOKUP("transport|PM25|Asthma symptoms cough", US_national_yearly!$D:$AM, 17, FALSE) / VLOOKUP("transport|PM25|Asthma symptoms cough", US_national_yearly!$D:$AM, 10, FALSE), 1)</f>
        <v>9.9799592267737741E-2</v>
      </c>
      <c r="J6" s="7">
        <f>$B6 * IFERROR(VLOOKUP("transport|PM25|Asthma symptoms cough", US_national_yearly!$D:$AM, 18, FALSE) / VLOOKUP("transport|PM25|Asthma symptoms cough", US_national_yearly!$D:$AM, 10, FALSE), 1)</f>
        <v>9.9799592267737741E-2</v>
      </c>
      <c r="K6" s="7">
        <f>$B6 * IFERROR(VLOOKUP("transport|PM25|Asthma symptoms cough", US_national_yearly!$D:$AM, 19, FALSE) / VLOOKUP("transport|PM25|Asthma symptoms cough", US_national_yearly!$D:$AM, 10, FALSE), 1)</f>
        <v>9.9799592267737741E-2</v>
      </c>
      <c r="L6" s="7">
        <f>$B6 * IFERROR(VLOOKUP("transport|PM25|Asthma symptoms cough", US_national_yearly!$D:$AM, 20, FALSE) / VLOOKUP("transport|PM25|Asthma symptoms cough", US_national_yearly!$D:$AM, 10, FALSE), 1)</f>
        <v>9.9799592267737741E-2</v>
      </c>
      <c r="M6" s="7">
        <f>$B6 * IFERROR(VLOOKUP("transport|PM25|Asthma symptoms cough", US_national_yearly!$D:$AM, 21, FALSE) / VLOOKUP("transport|PM25|Asthma symptoms cough", US_national_yearly!$D:$AM, 10, FALSE), 1)</f>
        <v>9.9799592267737741E-2</v>
      </c>
      <c r="N6" s="7">
        <f>$B6 * IFERROR(VLOOKUP("transport|PM25|Asthma symptoms cough", US_national_yearly!$D:$AM, 22, FALSE) / VLOOKUP("transport|PM25|Asthma symptoms cough", US_national_yearly!$D:$AM, 10, FALSE), 1)</f>
        <v>9.9799592267737741E-2</v>
      </c>
      <c r="O6" s="7">
        <f>$B6 * IFERROR(VLOOKUP("transport|PM25|Asthma symptoms cough", US_national_yearly!$D:$AM, 23, FALSE) / VLOOKUP("transport|PM25|Asthma symptoms cough", US_national_yearly!$D:$AM, 10, FALSE), 1)</f>
        <v>9.9799592267737741E-2</v>
      </c>
      <c r="P6" s="7">
        <f>$B6 * IFERROR(VLOOKUP("transport|PM25|Asthma symptoms cough", US_national_yearly!$D:$AM, 24, FALSE) / VLOOKUP("transport|PM25|Asthma symptoms cough", US_national_yearly!$D:$AM, 10, FALSE), 1)</f>
        <v>9.9799592267737741E-2</v>
      </c>
      <c r="Q6" s="7">
        <f>$B6 * IFERROR(VLOOKUP("transport|PM25|Asthma symptoms cough", US_national_yearly!$D:$AM, 25, FALSE) / VLOOKUP("transport|PM25|Asthma symptoms cough", US_national_yearly!$D:$AM, 10, FALSE), 1)</f>
        <v>9.9799592267737741E-2</v>
      </c>
      <c r="R6" s="7">
        <f>$B6 * IFERROR(VLOOKUP("transport|PM25|Asthma symptoms cough", US_national_yearly!$D:$AM, 26, FALSE) / VLOOKUP("transport|PM25|Asthma symptoms cough", US_national_yearly!$D:$AM, 10, FALSE), 1)</f>
        <v>9.9799592267737741E-2</v>
      </c>
      <c r="S6" s="7">
        <f>$B6 * IFERROR(VLOOKUP("transport|PM25|Asthma symptoms cough", US_national_yearly!$D:$AM, 27, FALSE) / VLOOKUP("transport|PM25|Asthma symptoms cough", US_national_yearly!$D:$AM, 10, FALSE), 1)</f>
        <v>9.9799592267737741E-2</v>
      </c>
      <c r="T6" s="7">
        <f>$B6 * IFERROR(VLOOKUP("transport|PM25|Asthma symptoms cough", US_national_yearly!$D:$AM, 28, FALSE) / VLOOKUP("transport|PM25|Asthma symptoms cough", US_national_yearly!$D:$AM, 10, FALSE), 1)</f>
        <v>9.9799592267737741E-2</v>
      </c>
      <c r="U6" s="7">
        <f>$B6 * IFERROR(VLOOKUP("transport|PM25|Asthma symptoms cough", US_national_yearly!$D:$AM, 29, FALSE) / VLOOKUP("transport|PM25|Asthma symptoms cough", US_national_yearly!$D:$AM, 10, FALSE), 1)</f>
        <v>9.9799592267737741E-2</v>
      </c>
      <c r="V6" s="7">
        <f>$B6 * IFERROR(VLOOKUP("transport|PM25|Asthma symptoms cough", US_national_yearly!$D:$AM, 30, FALSE) / VLOOKUP("transport|PM25|Asthma symptoms cough", US_national_yearly!$D:$AM, 10, FALSE), 1)</f>
        <v>9.9799592267737741E-2</v>
      </c>
      <c r="W6" s="7">
        <f>$B6 * IFERROR(VLOOKUP("transport|PM25|Asthma symptoms cough", US_national_yearly!$D:$AM, 31, FALSE) / VLOOKUP("transport|PM25|Asthma symptoms cough", US_national_yearly!$D:$AM, 10, FALSE), 1)</f>
        <v>9.9799592267737741E-2</v>
      </c>
      <c r="X6" s="7">
        <f>$B6 * IFERROR(VLOOKUP("transport|PM25|Asthma symptoms cough", US_national_yearly!$D:$AM, 32, FALSE) / VLOOKUP("transport|PM25|Asthma symptoms cough", US_national_yearly!$D:$AM, 10, FALSE), 1)</f>
        <v>9.9799592267737741E-2</v>
      </c>
      <c r="Y6" s="7">
        <f>$B6 * IFERROR(VLOOKUP("transport|PM25|Asthma symptoms cough", US_national_yearly!$D:$AM, 33, FALSE) / VLOOKUP("transport|PM25|Asthma symptoms cough", US_national_yearly!$D:$AM, 10, FALSE), 1)</f>
        <v>9.9799592267737741E-2</v>
      </c>
      <c r="Z6" s="7">
        <f>$B6 * IFERROR(VLOOKUP("transport|PM25|Asthma symptoms cough", US_national_yearly!$D:$AM, 34, FALSE) / VLOOKUP("transport|PM25|Asthma symptoms cough", US_national_yearly!$D:$AM, 10, FALSE), 1)</f>
        <v>9.9799592267737741E-2</v>
      </c>
      <c r="AA6" s="7">
        <f>$B6 * IFERROR(VLOOKUP("transport|PM25|Asthma symptoms cough", US_national_yearly!$D:$AM, 35, FALSE) / VLOOKUP("transport|PM25|Asthma symptoms cough", US_national_yearly!$D:$AM, 10, FALSE), 1)</f>
        <v>9.9799592267737741E-2</v>
      </c>
      <c r="AB6" s="7">
        <f>$B6 * IFERROR(VLOOKUP("transport|PM25|Asthma symptoms cough", US_national_yearly!$D:$AM, 36, FALSE) / VLOOKUP("transport|PM25|Asthma symptoms cough", US_national_yearly!$D:$AM, 10, FALSE), 1)</f>
        <v>9.9799592267737741E-2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0.13439056644518713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0.13439056644518713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0.13439056644518713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0.13439056644518713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0.13439056644518713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0.13439056644518713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0.13439056644518713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0.13439056644518713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0.13439056644518713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0.13439056644518713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0.13439056644518713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0.13439056644518713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0.13439056644518713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0.13439056644518713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0.13439056644518713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0.13439056644518713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0.13439056644518713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0.13439056644518713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0.13439056644518713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0.13439056644518713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0.13439056644518713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0.13439056644518713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0.13439056644518713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0.13439056644518713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0.13439056644518713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0.13439056644518713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0.13439056644518713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0.20534050648131705</v>
      </c>
      <c r="C8" s="7">
        <f>$B8 * IFERROR(VLOOKUP("transport|PM25|Asthma symptoms wheeze", US_national_yearly!$D:$AM, 11, FALSE) / VLOOKUP("transport|PM25|Asthma symptoms wheeze", US_national_yearly!$D:$AM, 10, FALSE), 1)</f>
        <v>0.20534050648131705</v>
      </c>
      <c r="D8" s="7">
        <f>$B8 * IFERROR(VLOOKUP("transport|PM25|Asthma symptoms wheeze", US_national_yearly!$D:$AM, 12, FALSE) / VLOOKUP("transport|PM25|Asthma symptoms wheeze", US_national_yearly!$D:$AM, 10, FALSE), 1)</f>
        <v>0.20534050648131705</v>
      </c>
      <c r="E8" s="7">
        <f>$B8 * IFERROR(VLOOKUP("transport|PM25|Asthma symptoms wheeze", US_national_yearly!$D:$AM, 13, FALSE) / VLOOKUP("transport|PM25|Asthma symptoms wheeze", US_national_yearly!$D:$AM, 10, FALSE), 1)</f>
        <v>0.20534050648131705</v>
      </c>
      <c r="F8" s="7">
        <f>$B8 * IFERROR(VLOOKUP("transport|PM25|Asthma symptoms wheeze", US_national_yearly!$D:$AM, 14, FALSE) / VLOOKUP("transport|PM25|Asthma symptoms wheeze", US_national_yearly!$D:$AM, 10, FALSE), 1)</f>
        <v>0.20534050648131705</v>
      </c>
      <c r="G8" s="7">
        <f>$B8 * IFERROR(VLOOKUP("transport|PM25|Asthma symptoms wheeze", US_national_yearly!$D:$AM, 15, FALSE) / VLOOKUP("transport|PM25|Asthma symptoms wheeze", US_national_yearly!$D:$AM, 10, FALSE), 1)</f>
        <v>0.20534050648131705</v>
      </c>
      <c r="H8" s="7">
        <f>$B8 * IFERROR(VLOOKUP("transport|PM25|Asthma symptoms wheeze", US_national_yearly!$D:$AM, 16, FALSE) / VLOOKUP("transport|PM25|Asthma symptoms wheeze", US_national_yearly!$D:$AM, 10, FALSE), 1)</f>
        <v>0.20534050648131705</v>
      </c>
      <c r="I8" s="7">
        <f>$B8 * IFERROR(VLOOKUP("transport|PM25|Asthma symptoms wheeze", US_national_yearly!$D:$AM, 17, FALSE) / VLOOKUP("transport|PM25|Asthma symptoms wheeze", US_national_yearly!$D:$AM, 10, FALSE), 1)</f>
        <v>0.20534050648131705</v>
      </c>
      <c r="J8" s="7">
        <f>$B8 * IFERROR(VLOOKUP("transport|PM25|Asthma symptoms wheeze", US_national_yearly!$D:$AM, 18, FALSE) / VLOOKUP("transport|PM25|Asthma symptoms wheeze", US_national_yearly!$D:$AM, 10, FALSE), 1)</f>
        <v>0.20534050648131705</v>
      </c>
      <c r="K8" s="7">
        <f>$B8 * IFERROR(VLOOKUP("transport|PM25|Asthma symptoms wheeze", US_national_yearly!$D:$AM, 19, FALSE) / VLOOKUP("transport|PM25|Asthma symptoms wheeze", US_national_yearly!$D:$AM, 10, FALSE), 1)</f>
        <v>0.20534050648131705</v>
      </c>
      <c r="L8" s="7">
        <f>$B8 * IFERROR(VLOOKUP("transport|PM25|Asthma symptoms wheeze", US_national_yearly!$D:$AM, 20, FALSE) / VLOOKUP("transport|PM25|Asthma symptoms wheeze", US_national_yearly!$D:$AM, 10, FALSE), 1)</f>
        <v>0.20534050648131705</v>
      </c>
      <c r="M8" s="7">
        <f>$B8 * IFERROR(VLOOKUP("transport|PM25|Asthma symptoms wheeze", US_national_yearly!$D:$AM, 21, FALSE) / VLOOKUP("transport|PM25|Asthma symptoms wheeze", US_national_yearly!$D:$AM, 10, FALSE), 1)</f>
        <v>0.20534050648131705</v>
      </c>
      <c r="N8" s="7">
        <f>$B8 * IFERROR(VLOOKUP("transport|PM25|Asthma symptoms wheeze", US_national_yearly!$D:$AM, 22, FALSE) / VLOOKUP("transport|PM25|Asthma symptoms wheeze", US_national_yearly!$D:$AM, 10, FALSE), 1)</f>
        <v>0.20534050648131705</v>
      </c>
      <c r="O8" s="7">
        <f>$B8 * IFERROR(VLOOKUP("transport|PM25|Asthma symptoms wheeze", US_national_yearly!$D:$AM, 23, FALSE) / VLOOKUP("transport|PM25|Asthma symptoms wheeze", US_national_yearly!$D:$AM, 10, FALSE), 1)</f>
        <v>0.20534050648131705</v>
      </c>
      <c r="P8" s="7">
        <f>$B8 * IFERROR(VLOOKUP("transport|PM25|Asthma symptoms wheeze", US_national_yearly!$D:$AM, 24, FALSE) / VLOOKUP("transport|PM25|Asthma symptoms wheeze", US_national_yearly!$D:$AM, 10, FALSE), 1)</f>
        <v>0.20534050648131705</v>
      </c>
      <c r="Q8" s="7">
        <f>$B8 * IFERROR(VLOOKUP("transport|PM25|Asthma symptoms wheeze", US_national_yearly!$D:$AM, 25, FALSE) / VLOOKUP("transport|PM25|Asthma symptoms wheeze", US_national_yearly!$D:$AM, 10, FALSE), 1)</f>
        <v>0.20534050648131705</v>
      </c>
      <c r="R8" s="7">
        <f>$B8 * IFERROR(VLOOKUP("transport|PM25|Asthma symptoms wheeze", US_national_yearly!$D:$AM, 26, FALSE) / VLOOKUP("transport|PM25|Asthma symptoms wheeze", US_national_yearly!$D:$AM, 10, FALSE), 1)</f>
        <v>0.20534050648131705</v>
      </c>
      <c r="S8" s="7">
        <f>$B8 * IFERROR(VLOOKUP("transport|PM25|Asthma symptoms wheeze", US_national_yearly!$D:$AM, 27, FALSE) / VLOOKUP("transport|PM25|Asthma symptoms wheeze", US_national_yearly!$D:$AM, 10, FALSE), 1)</f>
        <v>0.20534050648131705</v>
      </c>
      <c r="T8" s="7">
        <f>$B8 * IFERROR(VLOOKUP("transport|PM25|Asthma symptoms wheeze", US_national_yearly!$D:$AM, 28, FALSE) / VLOOKUP("transport|PM25|Asthma symptoms wheeze", US_national_yearly!$D:$AM, 10, FALSE), 1)</f>
        <v>0.20534050648131705</v>
      </c>
      <c r="U8" s="7">
        <f>$B8 * IFERROR(VLOOKUP("transport|PM25|Asthma symptoms wheeze", US_national_yearly!$D:$AM, 29, FALSE) / VLOOKUP("transport|PM25|Asthma symptoms wheeze", US_national_yearly!$D:$AM, 10, FALSE), 1)</f>
        <v>0.20534050648131705</v>
      </c>
      <c r="V8" s="7">
        <f>$B8 * IFERROR(VLOOKUP("transport|PM25|Asthma symptoms wheeze", US_national_yearly!$D:$AM, 30, FALSE) / VLOOKUP("transport|PM25|Asthma symptoms wheeze", US_national_yearly!$D:$AM, 10, FALSE), 1)</f>
        <v>0.20534050648131705</v>
      </c>
      <c r="W8" s="7">
        <f>$B8 * IFERROR(VLOOKUP("transport|PM25|Asthma symptoms wheeze", US_national_yearly!$D:$AM, 31, FALSE) / VLOOKUP("transport|PM25|Asthma symptoms wheeze", US_national_yearly!$D:$AM, 10, FALSE), 1)</f>
        <v>0.20534050648131705</v>
      </c>
      <c r="X8" s="7">
        <f>$B8 * IFERROR(VLOOKUP("transport|PM25|Asthma symptoms wheeze", US_national_yearly!$D:$AM, 32, FALSE) / VLOOKUP("transport|PM25|Asthma symptoms wheeze", US_national_yearly!$D:$AM, 10, FALSE), 1)</f>
        <v>0.20534050648131705</v>
      </c>
      <c r="Y8" s="7">
        <f>$B8 * IFERROR(VLOOKUP("transport|PM25|Asthma symptoms wheeze", US_national_yearly!$D:$AM, 33, FALSE) / VLOOKUP("transport|PM25|Asthma symptoms wheeze", US_national_yearly!$D:$AM, 10, FALSE), 1)</f>
        <v>0.20534050648131705</v>
      </c>
      <c r="Z8" s="7">
        <f>$B8 * IFERROR(VLOOKUP("transport|PM25|Asthma symptoms wheeze", US_national_yearly!$D:$AM, 34, FALSE) / VLOOKUP("transport|PM25|Asthma symptoms wheeze", US_national_yearly!$D:$AM, 10, FALSE), 1)</f>
        <v>0.20534050648131705</v>
      </c>
      <c r="AA8" s="7">
        <f>$B8 * IFERROR(VLOOKUP("transport|PM25|Asthma symptoms wheeze", US_national_yearly!$D:$AM, 35, FALSE) / VLOOKUP("transport|PM25|Asthma symptoms wheeze", US_national_yearly!$D:$AM, 10, FALSE), 1)</f>
        <v>0.20534050648131705</v>
      </c>
      <c r="AB8" s="7">
        <f>$B8 * IFERROR(VLOOKUP("transport|PM25|Asthma symptoms wheeze", US_national_yearly!$D:$AM, 36, FALSE) / VLOOKUP("transport|PM25|Asthma symptoms wheeze", US_national_yearly!$D:$AM, 10, FALSE), 1)</f>
        <v>0.20534050648131705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2.7508502532769281E-3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2.7666170181793919E-3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2.7823837830818548E-3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2.7981505479843186E-3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2.8139173128867816E-3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2.8309460915171458E-3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2.8479748701475097E-3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2.8642452211457177E-3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2.8805155721439266E-3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2.896785923142135E-3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2.9130562741403443E-3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2.9293266251385519E-3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2.9410043308485674E-3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2.952682036558582E-3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2.9643597422685962E-3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2.9760374479786108E-3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2.9877151536886258E-3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2.9988338682709688E-3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3.0099525828533127E-3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3.0210712974356557E-3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3.0321900120179987E-3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3.0433087266003417E-3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3.0540050718607715E-3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3.0647014171212E-3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3.0753977623816289E-3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3.0860941076420573E-3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3.0967904529024862E-3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1.6996628864196298E-2</v>
      </c>
      <c r="C13" s="7">
        <f>$B13 * IFERROR(VLOOKUP("transport|PM25|Non-fatal heart attacks", US_national_yearly!$D:$AM, 11, FALSE) / VLOOKUP("transport|PM25|Non-fatal heart attacks", US_national_yearly!$D:$AM, 10, FALSE), 1)</f>
        <v>1.7490765969169351E-2</v>
      </c>
      <c r="D13" s="7">
        <f>$B13 * IFERROR(VLOOKUP("transport|PM25|Non-fatal heart attacks", US_national_yearly!$D:$AM, 12, FALSE) / VLOOKUP("transport|PM25|Non-fatal heart attacks", US_national_yearly!$D:$AM, 10, FALSE), 1)</f>
        <v>1.7984903074142407E-2</v>
      </c>
      <c r="E13" s="7">
        <f>$B13 * IFERROR(VLOOKUP("transport|PM25|Non-fatal heart attacks", US_national_yearly!$D:$AM, 13, FALSE) / VLOOKUP("transport|PM25|Non-fatal heart attacks", US_national_yearly!$D:$AM, 10, FALSE), 1)</f>
        <v>1.8479040179115457E-2</v>
      </c>
      <c r="F13" s="7">
        <f>$B13 * IFERROR(VLOOKUP("transport|PM25|Non-fatal heart attacks", US_national_yearly!$D:$AM, 14, FALSE) / VLOOKUP("transport|PM25|Non-fatal heart attacks", US_national_yearly!$D:$AM, 10, FALSE), 1)</f>
        <v>1.8973177284088517E-2</v>
      </c>
      <c r="G13" s="7">
        <f>$B13 * IFERROR(VLOOKUP("transport|PM25|Non-fatal heart attacks", US_national_yearly!$D:$AM, 15, FALSE) / VLOOKUP("transport|PM25|Non-fatal heart attacks", US_national_yearly!$D:$AM, 10, FALSE), 1)</f>
        <v>1.9439179812820253E-2</v>
      </c>
      <c r="H13" s="7">
        <f>$B13 * IFERROR(VLOOKUP("transport|PM25|Non-fatal heart attacks", US_national_yearly!$D:$AM, 16, FALSE) / VLOOKUP("transport|PM25|Non-fatal heart attacks", US_national_yearly!$D:$AM, 10, FALSE), 1)</f>
        <v>1.9905182341551989E-2</v>
      </c>
      <c r="I13" s="7">
        <f>$B13 * IFERROR(VLOOKUP("transport|PM25|Non-fatal heart attacks", US_national_yearly!$D:$AM, 17, FALSE) / VLOOKUP("transport|PM25|Non-fatal heart attacks", US_national_yearly!$D:$AM, 10, FALSE), 1)</f>
        <v>2.0279693309978249E-2</v>
      </c>
      <c r="J13" s="7">
        <f>$B13 * IFERROR(VLOOKUP("transport|PM25|Non-fatal heart attacks", US_national_yearly!$D:$AM, 18, FALSE) / VLOOKUP("transport|PM25|Non-fatal heart attacks", US_national_yearly!$D:$AM, 10, FALSE), 1)</f>
        <v>2.065420427840451E-2</v>
      </c>
      <c r="K13" s="7">
        <f>$B13 * IFERROR(VLOOKUP("transport|PM25|Non-fatal heart attacks", US_national_yearly!$D:$AM, 19, FALSE) / VLOOKUP("transport|PM25|Non-fatal heart attacks", US_national_yearly!$D:$AM, 10, FALSE), 1)</f>
        <v>2.1028715246830778E-2</v>
      </c>
      <c r="L13" s="7">
        <f>$B13 * IFERROR(VLOOKUP("transport|PM25|Non-fatal heart attacks", US_national_yearly!$D:$AM, 20, FALSE) / VLOOKUP("transport|PM25|Non-fatal heart attacks", US_national_yearly!$D:$AM, 10, FALSE), 1)</f>
        <v>2.1403226215257039E-2</v>
      </c>
      <c r="M13" s="7">
        <f>$B13 * IFERROR(VLOOKUP("transport|PM25|Non-fatal heart attacks", US_national_yearly!$D:$AM, 21, FALSE) / VLOOKUP("transport|PM25|Non-fatal heart attacks", US_national_yearly!$D:$AM, 10, FALSE), 1)</f>
        <v>2.1777737183683303E-2</v>
      </c>
      <c r="N13" s="7">
        <f>$B13 * IFERROR(VLOOKUP("transport|PM25|Non-fatal heart attacks", US_national_yearly!$D:$AM, 22, FALSE) / VLOOKUP("transport|PM25|Non-fatal heart attacks", US_national_yearly!$D:$AM, 10, FALSE), 1)</f>
        <v>2.2019259777053022E-2</v>
      </c>
      <c r="O13" s="7">
        <f>$B13 * IFERROR(VLOOKUP("transport|PM25|Non-fatal heart attacks", US_national_yearly!$D:$AM, 23, FALSE) / VLOOKUP("transport|PM25|Non-fatal heart attacks", US_national_yearly!$D:$AM, 10, FALSE), 1)</f>
        <v>2.2260782370422741E-2</v>
      </c>
      <c r="P13" s="7">
        <f>$B13 * IFERROR(VLOOKUP("transport|PM25|Non-fatal heart attacks", US_national_yearly!$D:$AM, 24, FALSE) / VLOOKUP("transport|PM25|Non-fatal heart attacks", US_national_yearly!$D:$AM, 10, FALSE), 1)</f>
        <v>2.2502304963792463E-2</v>
      </c>
      <c r="Q13" s="7">
        <f>$B13 * IFERROR(VLOOKUP("transport|PM25|Non-fatal heart attacks", US_national_yearly!$D:$AM, 25, FALSE) / VLOOKUP("transport|PM25|Non-fatal heart attacks", US_national_yearly!$D:$AM, 10, FALSE), 1)</f>
        <v>2.2743827557162182E-2</v>
      </c>
      <c r="R13" s="7">
        <f>$B13 * IFERROR(VLOOKUP("transport|PM25|Non-fatal heart attacks", US_national_yearly!$D:$AM, 26, FALSE) / VLOOKUP("transport|PM25|Non-fatal heart attacks", US_national_yearly!$D:$AM, 10, FALSE), 1)</f>
        <v>2.2985350150531901E-2</v>
      </c>
      <c r="S13" s="7">
        <f>$B13 * IFERROR(VLOOKUP("transport|PM25|Non-fatal heart attacks", US_national_yearly!$D:$AM, 27, FALSE) / VLOOKUP("transport|PM25|Non-fatal heart attacks", US_national_yearly!$D:$AM, 10, FALSE), 1)</f>
        <v>2.3112542848448228E-2</v>
      </c>
      <c r="T13" s="7">
        <f>$B13 * IFERROR(VLOOKUP("transport|PM25|Non-fatal heart attacks", US_national_yearly!$D:$AM, 28, FALSE) / VLOOKUP("transport|PM25|Non-fatal heart attacks", US_national_yearly!$D:$AM, 10, FALSE), 1)</f>
        <v>2.3239735546364559E-2</v>
      </c>
      <c r="U13" s="7">
        <f>$B13 * IFERROR(VLOOKUP("transport|PM25|Non-fatal heart attacks", US_national_yearly!$D:$AM, 29, FALSE) / VLOOKUP("transport|PM25|Non-fatal heart attacks", US_national_yearly!$D:$AM, 10, FALSE), 1)</f>
        <v>2.3366928244280893E-2</v>
      </c>
      <c r="V13" s="7">
        <f>$B13 * IFERROR(VLOOKUP("transport|PM25|Non-fatal heart attacks", US_national_yearly!$D:$AM, 30, FALSE) / VLOOKUP("transport|PM25|Non-fatal heart attacks", US_national_yearly!$D:$AM, 10, FALSE), 1)</f>
        <v>2.3494120942197223E-2</v>
      </c>
      <c r="W13" s="7">
        <f>$B13 * IFERROR(VLOOKUP("transport|PM25|Non-fatal heart attacks", US_national_yearly!$D:$AM, 31, FALSE) / VLOOKUP("transport|PM25|Non-fatal heart attacks", US_national_yearly!$D:$AM, 10, FALSE), 1)</f>
        <v>2.362131364011355E-2</v>
      </c>
      <c r="X13" s="7">
        <f>$B13 * IFERROR(VLOOKUP("transport|PM25|Non-fatal heart attacks", US_national_yearly!$D:$AM, 32, FALSE) / VLOOKUP("transport|PM25|Non-fatal heart attacks", US_national_yearly!$D:$AM, 10, FALSE), 1)</f>
        <v>2.3717871289518178E-2</v>
      </c>
      <c r="Y13" s="7">
        <f>$B13 * IFERROR(VLOOKUP("transport|PM25|Non-fatal heart attacks", US_national_yearly!$D:$AM, 33, FALSE) / VLOOKUP("transport|PM25|Non-fatal heart attacks", US_national_yearly!$D:$AM, 10, FALSE), 1)</f>
        <v>2.3814428938922806E-2</v>
      </c>
      <c r="Z13" s="7">
        <f>$B13 * IFERROR(VLOOKUP("transport|PM25|Non-fatal heart attacks", US_national_yearly!$D:$AM, 34, FALSE) / VLOOKUP("transport|PM25|Non-fatal heart attacks", US_national_yearly!$D:$AM, 10, FALSE), 1)</f>
        <v>2.3910986588327434E-2</v>
      </c>
      <c r="AA13" s="7">
        <f>$B13 * IFERROR(VLOOKUP("transport|PM25|Non-fatal heart attacks", US_national_yearly!$D:$AM, 35, FALSE) / VLOOKUP("transport|PM25|Non-fatal heart attacks", US_national_yearly!$D:$AM, 10, FALSE), 1)</f>
        <v>2.4007544237732065E-2</v>
      </c>
      <c r="AB13" s="7">
        <f>$B13 * IFERROR(VLOOKUP("transport|PM25|Non-fatal heart attacks", US_national_yearly!$D:$AM, 36, FALSE) / VLOOKUP("transport|PM25|Non-fatal heart attacks", US_national_yearly!$D:$AM, 10, FALSE), 1)</f>
        <v>2.410410188713669E-2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12.484728573158625</v>
      </c>
      <c r="C14" s="7">
        <f>$B14 * IFERROR(VLOOKUP("transport|PM25|Minor restricted activity days", US_national_yearly!$D:$AM, 11, FALSE) / VLOOKUP("transport|PM25|Minor restricted activity days", US_national_yearly!$D:$AM, 10, FALSE), 1)</f>
        <v>12.515217760909275</v>
      </c>
      <c r="D14" s="7">
        <f>$B14 * IFERROR(VLOOKUP("transport|PM25|Minor restricted activity days", US_national_yearly!$D:$AM, 12, FALSE) / VLOOKUP("transport|PM25|Minor restricted activity days", US_national_yearly!$D:$AM, 10, FALSE), 1)</f>
        <v>12.545706948659923</v>
      </c>
      <c r="E14" s="7">
        <f>$B14 * IFERROR(VLOOKUP("transport|PM25|Minor restricted activity days", US_national_yearly!$D:$AM, 13, FALSE) / VLOOKUP("transport|PM25|Minor restricted activity days", US_national_yearly!$D:$AM, 10, FALSE), 1)</f>
        <v>12.576196136410577</v>
      </c>
      <c r="F14" s="7">
        <f>$B14 * IFERROR(VLOOKUP("transport|PM25|Minor restricted activity days", US_national_yearly!$D:$AM, 14, FALSE) / VLOOKUP("transport|PM25|Minor restricted activity days", US_national_yearly!$D:$AM, 10, FALSE), 1)</f>
        <v>12.606685324161223</v>
      </c>
      <c r="G14" s="7">
        <f>$B14 * IFERROR(VLOOKUP("transport|PM25|Minor restricted activity days", US_national_yearly!$D:$AM, 15, FALSE) / VLOOKUP("transport|PM25|Minor restricted activity days", US_national_yearly!$D:$AM, 10, FALSE), 1)</f>
        <v>12.651671208224988</v>
      </c>
      <c r="H14" s="7">
        <f>$B14 * IFERROR(VLOOKUP("transport|PM25|Minor restricted activity days", US_national_yearly!$D:$AM, 16, FALSE) / VLOOKUP("transport|PM25|Minor restricted activity days", US_national_yearly!$D:$AM, 10, FALSE), 1)</f>
        <v>12.696657092288754</v>
      </c>
      <c r="I14" s="7">
        <f>$B14 * IFERROR(VLOOKUP("transport|PM25|Minor restricted activity days", US_national_yearly!$D:$AM, 17, FALSE) / VLOOKUP("transport|PM25|Minor restricted activity days", US_national_yearly!$D:$AM, 10, FALSE), 1)</f>
        <v>12.773562353689277</v>
      </c>
      <c r="J14" s="7">
        <f>$B14 * IFERROR(VLOOKUP("transport|PM25|Minor restricted activity days", US_national_yearly!$D:$AM, 18, FALSE) / VLOOKUP("transport|PM25|Minor restricted activity days", US_national_yearly!$D:$AM, 10, FALSE), 1)</f>
        <v>12.850467615089794</v>
      </c>
      <c r="K14" s="7">
        <f>$B14 * IFERROR(VLOOKUP("transport|PM25|Minor restricted activity days", US_national_yearly!$D:$AM, 19, FALSE) / VLOOKUP("transport|PM25|Minor restricted activity days", US_national_yearly!$D:$AM, 10, FALSE), 1)</f>
        <v>12.927372876490317</v>
      </c>
      <c r="L14" s="7">
        <f>$B14 * IFERROR(VLOOKUP("transport|PM25|Minor restricted activity days", US_national_yearly!$D:$AM, 20, FALSE) / VLOOKUP("transport|PM25|Minor restricted activity days", US_national_yearly!$D:$AM, 10, FALSE), 1)</f>
        <v>13.004278137890836</v>
      </c>
      <c r="M14" s="7">
        <f>$B14 * IFERROR(VLOOKUP("transport|PM25|Minor restricted activity days", US_national_yearly!$D:$AM, 21, FALSE) / VLOOKUP("transport|PM25|Minor restricted activity days", US_national_yearly!$D:$AM, 10, FALSE), 1)</f>
        <v>13.081183399291355</v>
      </c>
      <c r="N14" s="7">
        <f>$B14 * IFERROR(VLOOKUP("transport|PM25|Minor restricted activity days", US_national_yearly!$D:$AM, 22, FALSE) / VLOOKUP("transport|PM25|Minor restricted activity days", US_national_yearly!$D:$AM, 10, FALSE), 1)</f>
        <v>13.185943677129179</v>
      </c>
      <c r="O14" s="7">
        <f>$B14 * IFERROR(VLOOKUP("transport|PM25|Minor restricted activity days", US_national_yearly!$D:$AM, 23, FALSE) / VLOOKUP("transport|PM25|Minor restricted activity days", US_national_yearly!$D:$AM, 10, FALSE), 1)</f>
        <v>13.290703954966999</v>
      </c>
      <c r="P14" s="7">
        <f>$B14 * IFERROR(VLOOKUP("transport|PM25|Minor restricted activity days", US_national_yearly!$D:$AM, 24, FALSE) / VLOOKUP("transport|PM25|Minor restricted activity days", US_national_yearly!$D:$AM, 10, FALSE), 1)</f>
        <v>13.395464232804821</v>
      </c>
      <c r="Q14" s="7">
        <f>$B14 * IFERROR(VLOOKUP("transport|PM25|Minor restricted activity days", US_national_yearly!$D:$AM, 25, FALSE) / VLOOKUP("transport|PM25|Minor restricted activity days", US_national_yearly!$D:$AM, 10, FALSE), 1)</f>
        <v>13.500224510642642</v>
      </c>
      <c r="R14" s="7">
        <f>$B14 * IFERROR(VLOOKUP("transport|PM25|Minor restricted activity days", US_national_yearly!$D:$AM, 26, FALSE) / VLOOKUP("transport|PM25|Minor restricted activity days", US_national_yearly!$D:$AM, 10, FALSE), 1)</f>
        <v>13.604984788480463</v>
      </c>
      <c r="S14" s="7">
        <f>$B14 * IFERROR(VLOOKUP("transport|PM25|Minor restricted activity days", US_national_yearly!$D:$AM, 27, FALSE) / VLOOKUP("transport|PM25|Minor restricted activity days", US_national_yearly!$D:$AM, 10, FALSE), 1)</f>
        <v>13.710466516023969</v>
      </c>
      <c r="T14" s="7">
        <f>$B14 * IFERROR(VLOOKUP("transport|PM25|Minor restricted activity days", US_national_yearly!$D:$AM, 28, FALSE) / VLOOKUP("transport|PM25|Minor restricted activity days", US_national_yearly!$D:$AM, 10, FALSE), 1)</f>
        <v>13.815948243567474</v>
      </c>
      <c r="U14" s="7">
        <f>$B14 * IFERROR(VLOOKUP("transport|PM25|Minor restricted activity days", US_national_yearly!$D:$AM, 29, FALSE) / VLOOKUP("transport|PM25|Minor restricted activity days", US_national_yearly!$D:$AM, 10, FALSE), 1)</f>
        <v>13.92142997111098</v>
      </c>
      <c r="V14" s="7">
        <f>$B14 * IFERROR(VLOOKUP("transport|PM25|Minor restricted activity days", US_national_yearly!$D:$AM, 30, FALSE) / VLOOKUP("transport|PM25|Minor restricted activity days", US_national_yearly!$D:$AM, 10, FALSE), 1)</f>
        <v>14.026911698654486</v>
      </c>
      <c r="W14" s="7">
        <f>$B14 * IFERROR(VLOOKUP("transport|PM25|Minor restricted activity days", US_national_yearly!$D:$AM, 31, FALSE) / VLOOKUP("transport|PM25|Minor restricted activity days", US_national_yearly!$D:$AM, 10, FALSE), 1)</f>
        <v>14.132393426197993</v>
      </c>
      <c r="X14" s="7">
        <f>$B14 * IFERROR(VLOOKUP("transport|PM25|Minor restricted activity days", US_national_yearly!$D:$AM, 32, FALSE) / VLOOKUP("transport|PM25|Minor restricted activity days", US_national_yearly!$D:$AM, 10, FALSE), 1)</f>
        <v>14.223962177369446</v>
      </c>
      <c r="Y14" s="7">
        <f>$B14 * IFERROR(VLOOKUP("transport|PM25|Minor restricted activity days", US_national_yearly!$D:$AM, 33, FALSE) / VLOOKUP("transport|PM25|Minor restricted activity days", US_national_yearly!$D:$AM, 10, FALSE), 1)</f>
        <v>14.315530928540898</v>
      </c>
      <c r="Z14" s="7">
        <f>$B14 * IFERROR(VLOOKUP("transport|PM25|Minor restricted activity days", US_national_yearly!$D:$AM, 34, FALSE) / VLOOKUP("transport|PM25|Minor restricted activity days", US_national_yearly!$D:$AM, 10, FALSE), 1)</f>
        <v>14.407099679712353</v>
      </c>
      <c r="AA14" s="7">
        <f>$B14 * IFERROR(VLOOKUP("transport|PM25|Minor restricted activity days", US_national_yearly!$D:$AM, 35, FALSE) / VLOOKUP("transport|PM25|Minor restricted activity days", US_national_yearly!$D:$AM, 10, FALSE), 1)</f>
        <v>14.498668430883802</v>
      </c>
      <c r="AB14" s="7">
        <f>$B14 * IFERROR(VLOOKUP("transport|PM25|Minor restricted activity days", US_national_yearly!$D:$AM, 36, FALSE) / VLOOKUP("transport|PM25|Minor restricted activity days", US_national_yearly!$D:$AM, 10, FALSE), 1)</f>
        <v>14.590237182055256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2.1058071580643332</v>
      </c>
      <c r="C15" s="7">
        <f>$B15 * IFERROR(VLOOKUP("transport|PM25|Work loss days", US_national_yearly!$D:$AM, 11, FALSE) / VLOOKUP("transport|PM25|Work loss days", US_national_yearly!$D:$AM, 10, FALSE), 1)</f>
        <v>2.1123344018040937</v>
      </c>
      <c r="D15" s="7">
        <f>$B15 * IFERROR(VLOOKUP("transport|PM25|Work loss days", US_national_yearly!$D:$AM, 12, FALSE) / VLOOKUP("transport|PM25|Work loss days", US_national_yearly!$D:$AM, 10, FALSE), 1)</f>
        <v>2.1188616455438547</v>
      </c>
      <c r="E15" s="7">
        <f>$B15 * IFERROR(VLOOKUP("transport|PM25|Work loss days", US_national_yearly!$D:$AM, 13, FALSE) / VLOOKUP("transport|PM25|Work loss days", US_national_yearly!$D:$AM, 10, FALSE), 1)</f>
        <v>2.1253888892836152</v>
      </c>
      <c r="F15" s="7">
        <f>$B15 * IFERROR(VLOOKUP("transport|PM25|Work loss days", US_national_yearly!$D:$AM, 14, FALSE) / VLOOKUP("transport|PM25|Work loss days", US_national_yearly!$D:$AM, 10, FALSE), 1)</f>
        <v>2.1319161330233758</v>
      </c>
      <c r="G15" s="7">
        <f>$B15 * IFERROR(VLOOKUP("transport|PM25|Work loss days", US_national_yearly!$D:$AM, 15, FALSE) / VLOOKUP("transport|PM25|Work loss days", US_national_yearly!$D:$AM, 10, FALSE), 1)</f>
        <v>2.1404737660758855</v>
      </c>
      <c r="H15" s="7">
        <f>$B15 * IFERROR(VLOOKUP("transport|PM25|Work loss days", US_national_yearly!$D:$AM, 16, FALSE) / VLOOKUP("transport|PM25|Work loss days", US_national_yearly!$D:$AM, 10, FALSE), 1)</f>
        <v>2.1490313991283951</v>
      </c>
      <c r="I15" s="7">
        <f>$B15 * IFERROR(VLOOKUP("transport|PM25|Work loss days", US_national_yearly!$D:$AM, 17, FALSE) / VLOOKUP("transport|PM25|Work loss days", US_national_yearly!$D:$AM, 10, FALSE), 1)</f>
        <v>2.1616334550086984</v>
      </c>
      <c r="J15" s="7">
        <f>$B15 * IFERROR(VLOOKUP("transport|PM25|Work loss days", US_national_yearly!$D:$AM, 18, FALSE) / VLOOKUP("transport|PM25|Work loss days", US_national_yearly!$D:$AM, 10, FALSE), 1)</f>
        <v>2.1742355108890017</v>
      </c>
      <c r="K15" s="7">
        <f>$B15 * IFERROR(VLOOKUP("transport|PM25|Work loss days", US_national_yearly!$D:$AM, 19, FALSE) / VLOOKUP("transport|PM25|Work loss days", US_national_yearly!$D:$AM, 10, FALSE), 1)</f>
        <v>2.186837566769305</v>
      </c>
      <c r="L15" s="7">
        <f>$B15 * IFERROR(VLOOKUP("transport|PM25|Work loss days", US_national_yearly!$D:$AM, 20, FALSE) / VLOOKUP("transport|PM25|Work loss days", US_national_yearly!$D:$AM, 10, FALSE), 1)</f>
        <v>2.1994396226496082</v>
      </c>
      <c r="M15" s="7">
        <f>$B15 * IFERROR(VLOOKUP("transport|PM25|Work loss days", US_national_yearly!$D:$AM, 21, FALSE) / VLOOKUP("transport|PM25|Work loss days", US_national_yearly!$D:$AM, 10, FALSE), 1)</f>
        <v>2.2120416785299115</v>
      </c>
      <c r="N15" s="7">
        <f>$B15 * IFERROR(VLOOKUP("transport|PM25|Work loss days", US_national_yearly!$D:$AM, 22, FALSE) / VLOOKUP("transport|PM25|Work loss days", US_national_yearly!$D:$AM, 10, FALSE), 1)</f>
        <v>2.227902319689774</v>
      </c>
      <c r="O15" s="7">
        <f>$B15 * IFERROR(VLOOKUP("transport|PM25|Work loss days", US_national_yearly!$D:$AM, 23, FALSE) / VLOOKUP("transport|PM25|Work loss days", US_national_yearly!$D:$AM, 10, FALSE), 1)</f>
        <v>2.2437629608496361</v>
      </c>
      <c r="P15" s="7">
        <f>$B15 * IFERROR(VLOOKUP("transport|PM25|Work loss days", US_national_yearly!$D:$AM, 24, FALSE) / VLOOKUP("transport|PM25|Work loss days", US_national_yearly!$D:$AM, 10, FALSE), 1)</f>
        <v>2.2596236020094986</v>
      </c>
      <c r="Q15" s="7">
        <f>$B15 * IFERROR(VLOOKUP("transport|PM25|Work loss days", US_national_yearly!$D:$AM, 25, FALSE) / VLOOKUP("transport|PM25|Work loss days", US_national_yearly!$D:$AM, 10, FALSE), 1)</f>
        <v>2.2754842431693607</v>
      </c>
      <c r="R15" s="7">
        <f>$B15 * IFERROR(VLOOKUP("transport|PM25|Work loss days", US_national_yearly!$D:$AM, 26, FALSE) / VLOOKUP("transport|PM25|Work loss days", US_national_yearly!$D:$AM, 10, FALSE), 1)</f>
        <v>2.2913448843292232</v>
      </c>
      <c r="S15" s="7">
        <f>$B15 * IFERROR(VLOOKUP("transport|PM25|Work loss days", US_national_yearly!$D:$AM, 27, FALSE) / VLOOKUP("transport|PM25|Work loss days", US_national_yearly!$D:$AM, 10, FALSE), 1)</f>
        <v>2.3088874305975704</v>
      </c>
      <c r="T15" s="7">
        <f>$B15 * IFERROR(VLOOKUP("transport|PM25|Work loss days", US_national_yearly!$D:$AM, 28, FALSE) / VLOOKUP("transport|PM25|Work loss days", US_national_yearly!$D:$AM, 10, FALSE), 1)</f>
        <v>2.3264299768659176</v>
      </c>
      <c r="U15" s="7">
        <f>$B15 * IFERROR(VLOOKUP("transport|PM25|Work loss days", US_national_yearly!$D:$AM, 29, FALSE) / VLOOKUP("transport|PM25|Work loss days", US_national_yearly!$D:$AM, 10, FALSE), 1)</f>
        <v>2.3439725231342643</v>
      </c>
      <c r="V15" s="7">
        <f>$B15 * IFERROR(VLOOKUP("transport|PM25|Work loss days", US_national_yearly!$D:$AM, 30, FALSE) / VLOOKUP("transport|PM25|Work loss days", US_national_yearly!$D:$AM, 10, FALSE), 1)</f>
        <v>2.3615150694026119</v>
      </c>
      <c r="W15" s="7">
        <f>$B15 * IFERROR(VLOOKUP("transport|PM25|Work loss days", US_national_yearly!$D:$AM, 31, FALSE) / VLOOKUP("transport|PM25|Work loss days", US_national_yearly!$D:$AM, 10, FALSE), 1)</f>
        <v>2.3790576156709591</v>
      </c>
      <c r="X15" s="7">
        <f>$B15 * IFERROR(VLOOKUP("transport|PM25|Work loss days", US_national_yearly!$D:$AM, 32, FALSE) / VLOOKUP("transport|PM25|Work loss days", US_national_yearly!$D:$AM, 10, FALSE), 1)</f>
        <v>2.3946225854992571</v>
      </c>
      <c r="Y15" s="7">
        <f>$B15 * IFERROR(VLOOKUP("transport|PM25|Work loss days", US_national_yearly!$D:$AM, 33, FALSE) / VLOOKUP("transport|PM25|Work loss days", US_national_yearly!$D:$AM, 10, FALSE), 1)</f>
        <v>2.4101875553275556</v>
      </c>
      <c r="Z15" s="7">
        <f>$B15 * IFERROR(VLOOKUP("transport|PM25|Work loss days", US_national_yearly!$D:$AM, 34, FALSE) / VLOOKUP("transport|PM25|Work loss days", US_national_yearly!$D:$AM, 10, FALSE), 1)</f>
        <v>2.4257525251558545</v>
      </c>
      <c r="AA15" s="7">
        <f>$B15 * IFERROR(VLOOKUP("transport|PM25|Work loss days", US_national_yearly!$D:$AM, 35, FALSE) / VLOOKUP("transport|PM25|Work loss days", US_national_yearly!$D:$AM, 10, FALSE), 1)</f>
        <v>2.441317494984153</v>
      </c>
      <c r="AB15" s="7">
        <f>$B15 * IFERROR(VLOOKUP("transport|PM25|Work loss days", US_national_yearly!$D:$AM, 36, FALSE) / VLOOKUP("transport|PM25|Work loss days", US_national_yearly!$D:$AM, 10, FALSE), 1)</f>
        <v>2.4568824648124514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3.9416273626006965E-3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4.0594059367584064E-3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4.1771845109161163E-3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4.2949630850738271E-3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4.412741659231537E-3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4.5255524948706414E-3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4.6383633305097467E-3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4.7348453507114674E-3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4.8313273709131872E-3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4.9278093911149061E-3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5.0242914113166276E-3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5.1207734315183474E-3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5.1851001971999775E-3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5.2494269628816093E-3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5.3137537285632402E-3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5.378080494244872E-3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5.4424072599265029E-3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5.4764421245876785E-3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5.5104769892488532E-3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5.544511853910028E-3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5.5785467185712027E-3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5.6125815832323784E-3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5.6354943018158739E-3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5.6584070203993704E-3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5.681319738982866E-3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5.7042324575663625E-3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5.727145176149858E-3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1.7343078300646657E-3</v>
      </c>
      <c r="C2" s="7">
        <f>$B2 * IFERROR(VLOOKUP("transport|NOx|Premature mortality", US_national_yearly!$D:$AM, 11, FALSE) / VLOOKUP("transport|NOx|Premature mortality", US_national_yearly!$D:$AM, 10, FALSE), 1)</f>
        <v>1.7597818806688297E-3</v>
      </c>
      <c r="D2" s="7">
        <f>$B2 * IFERROR(VLOOKUP("transport|NOx|Premature mortality", US_national_yearly!$D:$AM, 12, FALSE) / VLOOKUP("transport|NOx|Premature mortality", US_national_yearly!$D:$AM, 10, FALSE), 1)</f>
        <v>1.7852559312729935E-3</v>
      </c>
      <c r="E2" s="7">
        <f>$B2 * IFERROR(VLOOKUP("transport|NOx|Premature mortality", US_national_yearly!$D:$AM, 13, FALSE) / VLOOKUP("transport|NOx|Premature mortality", US_national_yearly!$D:$AM, 10, FALSE), 1)</f>
        <v>1.8107299818771576E-3</v>
      </c>
      <c r="F2" s="7">
        <f>$B2 * IFERROR(VLOOKUP("transport|NOx|Premature mortality", US_national_yearly!$D:$AM, 14, FALSE) / VLOOKUP("transport|NOx|Premature mortality", US_national_yearly!$D:$AM, 10, FALSE), 1)</f>
        <v>1.8362040324813218E-3</v>
      </c>
      <c r="G2" s="7">
        <f>$B2 * IFERROR(VLOOKUP("transport|NOx|Premature mortality", US_national_yearly!$D:$AM, 15, FALSE) / VLOOKUP("transport|NOx|Premature mortality", US_national_yearly!$D:$AM, 10, FALSE), 1)</f>
        <v>1.8819614500485454E-3</v>
      </c>
      <c r="H2" s="7">
        <f>$B2 * IFERROR(VLOOKUP("transport|NOx|Premature mortality", US_national_yearly!$D:$AM, 16, FALSE) / VLOOKUP("transport|NOx|Premature mortality", US_national_yearly!$D:$AM, 10, FALSE), 1)</f>
        <v>1.9277188676157697E-3</v>
      </c>
      <c r="I2" s="7">
        <f>$B2 * IFERROR(VLOOKUP("transport|NOx|Premature mortality", US_national_yearly!$D:$AM, 17, FALSE) / VLOOKUP("transport|NOx|Premature mortality", US_national_yearly!$D:$AM, 10, FALSE), 1)</f>
        <v>1.9572561486111647E-3</v>
      </c>
      <c r="J2" s="7">
        <f>$B2 * IFERROR(VLOOKUP("transport|NOx|Premature mortality", US_national_yearly!$D:$AM, 18, FALSE) / VLOOKUP("transport|NOx|Premature mortality", US_national_yearly!$D:$AM, 10, FALSE), 1)</f>
        <v>1.9867934296065601E-3</v>
      </c>
      <c r="K2" s="7">
        <f>$B2 * IFERROR(VLOOKUP("transport|NOx|Premature mortality", US_national_yearly!$D:$AM, 19, FALSE) / VLOOKUP("transport|NOx|Premature mortality", US_national_yearly!$D:$AM, 10, FALSE), 1)</f>
        <v>2.0163307106019551E-3</v>
      </c>
      <c r="L2" s="7">
        <f>$B2 * IFERROR(VLOOKUP("transport|NOx|Premature mortality", US_national_yearly!$D:$AM, 20, FALSE) / VLOOKUP("transport|NOx|Premature mortality", US_national_yearly!$D:$AM, 10, FALSE), 1)</f>
        <v>2.0458679915973501E-3</v>
      </c>
      <c r="M2" s="7">
        <f>$B2 * IFERROR(VLOOKUP("transport|NOx|Premature mortality", US_national_yearly!$D:$AM, 21, FALSE) / VLOOKUP("transport|NOx|Premature mortality", US_national_yearly!$D:$AM, 10, FALSE), 1)</f>
        <v>2.0754052725927459E-3</v>
      </c>
      <c r="N2" s="7">
        <f>$B2 * IFERROR(VLOOKUP("transport|NOx|Premature mortality", US_national_yearly!$D:$AM, 22, FALSE) / VLOOKUP("transport|NOx|Premature mortality", US_national_yearly!$D:$AM, 10, FALSE), 1)</f>
        <v>2.0972863755266639E-3</v>
      </c>
      <c r="O2" s="7">
        <f>$B2 * IFERROR(VLOOKUP("transport|NOx|Premature mortality", US_national_yearly!$D:$AM, 23, FALSE) / VLOOKUP("transport|NOx|Premature mortality", US_national_yearly!$D:$AM, 10, FALSE), 1)</f>
        <v>2.1191674784605818E-3</v>
      </c>
      <c r="P2" s="7">
        <f>$B2 * IFERROR(VLOOKUP("transport|NOx|Premature mortality", US_national_yearly!$D:$AM, 24, FALSE) / VLOOKUP("transport|NOx|Premature mortality", US_national_yearly!$D:$AM, 10, FALSE), 1)</f>
        <v>2.1410485813944998E-3</v>
      </c>
      <c r="Q2" s="7">
        <f>$B2 * IFERROR(VLOOKUP("transport|NOx|Premature mortality", US_national_yearly!$D:$AM, 25, FALSE) / VLOOKUP("transport|NOx|Premature mortality", US_national_yearly!$D:$AM, 10, FALSE), 1)</f>
        <v>2.1629296843284187E-3</v>
      </c>
      <c r="R2" s="7">
        <f>$B2 * IFERROR(VLOOKUP("transport|NOx|Premature mortality", US_national_yearly!$D:$AM, 26, FALSE) / VLOOKUP("transport|NOx|Premature mortality", US_national_yearly!$D:$AM, 10, FALSE), 1)</f>
        <v>2.1848107872623366E-3</v>
      </c>
      <c r="S2" s="7">
        <f>$B2 * IFERROR(VLOOKUP("transport|NOx|Premature mortality", US_national_yearly!$D:$AM, 27, FALSE) / VLOOKUP("transport|NOx|Premature mortality", US_national_yearly!$D:$AM, 10, FALSE), 1)</f>
        <v>2.1947559688855808E-3</v>
      </c>
      <c r="T2" s="7">
        <f>$B2 * IFERROR(VLOOKUP("transport|NOx|Premature mortality", US_national_yearly!$D:$AM, 28, FALSE) / VLOOKUP("transport|NOx|Premature mortality", US_national_yearly!$D:$AM, 10, FALSE), 1)</f>
        <v>2.2047011505088253E-3</v>
      </c>
      <c r="U2" s="7">
        <f>$B2 * IFERROR(VLOOKUP("transport|NOx|Premature mortality", US_national_yearly!$D:$AM, 29, FALSE) / VLOOKUP("transport|NOx|Premature mortality", US_national_yearly!$D:$AM, 10, FALSE), 1)</f>
        <v>2.2146463321320695E-3</v>
      </c>
      <c r="V2" s="7">
        <f>$B2 * IFERROR(VLOOKUP("transport|NOx|Premature mortality", US_national_yearly!$D:$AM, 30, FALSE) / VLOOKUP("transport|NOx|Premature mortality", US_national_yearly!$D:$AM, 10, FALSE), 1)</f>
        <v>2.2245915137553136E-3</v>
      </c>
      <c r="W2" s="7">
        <f>$B2 * IFERROR(VLOOKUP("transport|NOx|Premature mortality", US_national_yearly!$D:$AM, 31, FALSE) / VLOOKUP("transport|NOx|Premature mortality", US_national_yearly!$D:$AM, 10, FALSE), 1)</f>
        <v>2.2345366953785582E-3</v>
      </c>
      <c r="X2" s="7">
        <f>$B2 * IFERROR(VLOOKUP("transport|NOx|Premature mortality", US_national_yearly!$D:$AM, 32, FALSE) / VLOOKUP("transport|NOx|Premature mortality", US_national_yearly!$D:$AM, 10, FALSE), 1)</f>
        <v>2.2348811907614077E-3</v>
      </c>
      <c r="Y2" s="7">
        <f>$B2 * IFERROR(VLOOKUP("transport|NOx|Premature mortality", US_national_yearly!$D:$AM, 33, FALSE) / VLOOKUP("transport|NOx|Premature mortality", US_national_yearly!$D:$AM, 10, FALSE), 1)</f>
        <v>2.2352256861442568E-3</v>
      </c>
      <c r="Z2" s="7">
        <f>$B2 * IFERROR(VLOOKUP("transport|NOx|Premature mortality", US_national_yearly!$D:$AM, 34, FALSE) / VLOOKUP("transport|NOx|Premature mortality", US_national_yearly!$D:$AM, 10, FALSE), 1)</f>
        <v>2.2355701815271059E-3</v>
      </c>
      <c r="AA2" s="7">
        <f>$B2 * IFERROR(VLOOKUP("transport|NOx|Premature mortality", US_national_yearly!$D:$AM, 35, FALSE) / VLOOKUP("transport|NOx|Premature mortality", US_national_yearly!$D:$AM, 10, FALSE), 1)</f>
        <v>2.2359146769099555E-3</v>
      </c>
      <c r="AB2" s="7">
        <f>$B2 * IFERROR(VLOOKUP("transport|NOx|Premature mortality", US_national_yearly!$D:$AM, 36, FALSE) / VLOOKUP("transport|NOx|Premature mortality", US_national_yearly!$D:$AM, 10, FALSE), 1)</f>
        <v>2.2362591722928046E-3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4.2884151977174973E-6</v>
      </c>
      <c r="C3" s="7">
        <f>$B3 * IFERROR(VLOOKUP("transport|NOx|Infant mortality", US_national_yearly!$D:$AM, 11, FALSE) / VLOOKUP("transport|NOx|Infant mortality", US_national_yearly!$D:$AM, 10, FALSE), 1)</f>
        <v>4.247557115380434E-6</v>
      </c>
      <c r="D3" s="7">
        <f>$B3 * IFERROR(VLOOKUP("transport|NOx|Infant mortality", US_national_yearly!$D:$AM, 12, FALSE) / VLOOKUP("transport|NOx|Infant mortality", US_national_yearly!$D:$AM, 10, FALSE), 1)</f>
        <v>4.2066990330433699E-6</v>
      </c>
      <c r="E3" s="7">
        <f>$B3 * IFERROR(VLOOKUP("transport|NOx|Infant mortality", US_national_yearly!$D:$AM, 13, FALSE) / VLOOKUP("transport|NOx|Infant mortality", US_national_yearly!$D:$AM, 10, FALSE), 1)</f>
        <v>4.1658409507063066E-6</v>
      </c>
      <c r="F3" s="7">
        <f>$B3 * IFERROR(VLOOKUP("transport|NOx|Infant mortality", US_national_yearly!$D:$AM, 14, FALSE) / VLOOKUP("transport|NOx|Infant mortality", US_national_yearly!$D:$AM, 10, FALSE), 1)</f>
        <v>4.1249828683692433E-6</v>
      </c>
      <c r="G3" s="7">
        <f>$B3 * IFERROR(VLOOKUP("transport|NOx|Infant mortality", US_national_yearly!$D:$AM, 15, FALSE) / VLOOKUP("transport|NOx|Infant mortality", US_national_yearly!$D:$AM, 10, FALSE), 1)</f>
        <v>2.7383673237309336E-6</v>
      </c>
      <c r="H3" s="7">
        <f>$B3 * IFERROR(VLOOKUP("transport|NOx|Infant mortality", US_national_yearly!$D:$AM, 16, FALSE) / VLOOKUP("transport|NOx|Infant mortality", US_national_yearly!$D:$AM, 10, FALSE), 1)</f>
        <v>1.3517517790926241E-6</v>
      </c>
      <c r="I3" s="7">
        <f>$B3 * IFERROR(VLOOKUP("transport|NOx|Infant mortality", US_national_yearly!$D:$AM, 17, FALSE) / VLOOKUP("transport|NOx|Infant mortality", US_national_yearly!$D:$AM, 10, FALSE), 1)</f>
        <v>1.3421936033565812E-6</v>
      </c>
      <c r="J3" s="7">
        <f>$B3 * IFERROR(VLOOKUP("transport|NOx|Infant mortality", US_national_yearly!$D:$AM, 18, FALSE) / VLOOKUP("transport|NOx|Infant mortality", US_national_yearly!$D:$AM, 10, FALSE), 1)</f>
        <v>1.3326354276205381E-6</v>
      </c>
      <c r="K3" s="7">
        <f>$B3 * IFERROR(VLOOKUP("transport|NOx|Infant mortality", US_national_yearly!$D:$AM, 19, FALSE) / VLOOKUP("transport|NOx|Infant mortality", US_national_yearly!$D:$AM, 10, FALSE), 1)</f>
        <v>1.3230772518844954E-6</v>
      </c>
      <c r="L3" s="7">
        <f>$B3 * IFERROR(VLOOKUP("transport|NOx|Infant mortality", US_national_yearly!$D:$AM, 20, FALSE) / VLOOKUP("transport|NOx|Infant mortality", US_national_yearly!$D:$AM, 10, FALSE), 1)</f>
        <v>1.3135190761484524E-6</v>
      </c>
      <c r="M3" s="7">
        <f>$B3 * IFERROR(VLOOKUP("transport|NOx|Infant mortality", US_national_yearly!$D:$AM, 21, FALSE) / VLOOKUP("transport|NOx|Infant mortality", US_national_yearly!$D:$AM, 10, FALSE), 1)</f>
        <v>1.3039609004124093E-6</v>
      </c>
      <c r="N3" s="7">
        <f>$B3 * IFERROR(VLOOKUP("transport|NOx|Infant mortality", US_national_yearly!$D:$AM, 22, FALSE) / VLOOKUP("transport|NOx|Infant mortality", US_national_yearly!$D:$AM, 10, FALSE), 1)</f>
        <v>1.2976165830098999E-6</v>
      </c>
      <c r="O3" s="7">
        <f>$B3 * IFERROR(VLOOKUP("transport|NOx|Infant mortality", US_national_yearly!$D:$AM, 23, FALSE) / VLOOKUP("transport|NOx|Infant mortality", US_national_yearly!$D:$AM, 10, FALSE), 1)</f>
        <v>1.2912722656073905E-6</v>
      </c>
      <c r="P3" s="7">
        <f>$B3 * IFERROR(VLOOKUP("transport|NOx|Infant mortality", US_national_yearly!$D:$AM, 24, FALSE) / VLOOKUP("transport|NOx|Infant mortality", US_national_yearly!$D:$AM, 10, FALSE), 1)</f>
        <v>1.2849279482048813E-6</v>
      </c>
      <c r="Q3" s="7">
        <f>$B3 * IFERROR(VLOOKUP("transport|NOx|Infant mortality", US_national_yearly!$D:$AM, 25, FALSE) / VLOOKUP("transport|NOx|Infant mortality", US_national_yearly!$D:$AM, 10, FALSE), 1)</f>
        <v>1.2785836308023719E-6</v>
      </c>
      <c r="R3" s="7">
        <f>$B3 * IFERROR(VLOOKUP("transport|NOx|Infant mortality", US_national_yearly!$D:$AM, 26, FALSE) / VLOOKUP("transport|NOx|Infant mortality", US_national_yearly!$D:$AM, 10, FALSE), 1)</f>
        <v>1.2722393133998627E-6</v>
      </c>
      <c r="S3" s="7">
        <f>$B3 * IFERROR(VLOOKUP("transport|NOx|Infant mortality", US_national_yearly!$D:$AM, 27, FALSE) / VLOOKUP("transport|NOx|Infant mortality", US_national_yearly!$D:$AM, 10, FALSE), 1)</f>
        <v>1.2646124349844214E-6</v>
      </c>
      <c r="T3" s="7">
        <f>$B3 * IFERROR(VLOOKUP("transport|NOx|Infant mortality", US_national_yearly!$D:$AM, 28, FALSE) / VLOOKUP("transport|NOx|Infant mortality", US_national_yearly!$D:$AM, 10, FALSE), 1)</f>
        <v>1.2569855565689801E-6</v>
      </c>
      <c r="U3" s="7">
        <f>$B3 * IFERROR(VLOOKUP("transport|NOx|Infant mortality", US_national_yearly!$D:$AM, 29, FALSE) / VLOOKUP("transport|NOx|Infant mortality", US_national_yearly!$D:$AM, 10, FALSE), 1)</f>
        <v>1.2493586781535388E-6</v>
      </c>
      <c r="V3" s="7">
        <f>$B3 * IFERROR(VLOOKUP("transport|NOx|Infant mortality", US_national_yearly!$D:$AM, 30, FALSE) / VLOOKUP("transport|NOx|Infant mortality", US_national_yearly!$D:$AM, 10, FALSE), 1)</f>
        <v>1.2417317997380975E-6</v>
      </c>
      <c r="W3" s="7">
        <f>$B3 * IFERROR(VLOOKUP("transport|NOx|Infant mortality", US_national_yearly!$D:$AM, 31, FALSE) / VLOOKUP("transport|NOx|Infant mortality", US_national_yearly!$D:$AM, 10, FALSE), 1)</f>
        <v>1.2341049213226562E-6</v>
      </c>
      <c r="X3" s="7">
        <f>$B3 * IFERROR(VLOOKUP("transport|NOx|Infant mortality", US_national_yearly!$D:$AM, 32, FALSE) / VLOOKUP("transport|NOx|Infant mortality", US_national_yearly!$D:$AM, 10, FALSE), 1)</f>
        <v>1.226027688259917E-6</v>
      </c>
      <c r="Y3" s="7">
        <f>$B3 * IFERROR(VLOOKUP("transport|NOx|Infant mortality", US_national_yearly!$D:$AM, 33, FALSE) / VLOOKUP("transport|NOx|Infant mortality", US_national_yearly!$D:$AM, 10, FALSE), 1)</f>
        <v>1.2179504551971774E-6</v>
      </c>
      <c r="Z3" s="7">
        <f>$B3 * IFERROR(VLOOKUP("transport|NOx|Infant mortality", US_national_yearly!$D:$AM, 34, FALSE) / VLOOKUP("transport|NOx|Infant mortality", US_national_yearly!$D:$AM, 10, FALSE), 1)</f>
        <v>1.209873222134438E-6</v>
      </c>
      <c r="AA3" s="7">
        <f>$B3 * IFERROR(VLOOKUP("transport|NOx|Infant mortality", US_national_yearly!$D:$AM, 35, FALSE) / VLOOKUP("transport|NOx|Infant mortality", US_national_yearly!$D:$AM, 10, FALSE), 1)</f>
        <v>1.2017959890716986E-6</v>
      </c>
      <c r="AB3" s="7">
        <f>$B3 * IFERROR(VLOOKUP("transport|NOx|Infant mortality", US_national_yearly!$D:$AM, 36, FALSE) / VLOOKUP("transport|NOx|Infant mortality", US_national_yearly!$D:$AM, 10, FALSE), 1)</f>
        <v>1.1937187560089592E-6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3.7914633093415989E-3</v>
      </c>
      <c r="C6" s="7">
        <f>$B6 * IFERROR(VLOOKUP("transport|NOx|Asthma symptoms cough", US_national_yearly!$D:$AM, 11, FALSE) / VLOOKUP("transport|NOx|Asthma symptoms cough", US_national_yearly!$D:$AM, 10, FALSE), 1)</f>
        <v>3.8432988115774322E-3</v>
      </c>
      <c r="D6" s="7">
        <f>$B6 * IFERROR(VLOOKUP("transport|NOx|Asthma symptoms cough", US_national_yearly!$D:$AM, 12, FALSE) / VLOOKUP("transport|NOx|Asthma symptoms cough", US_national_yearly!$D:$AM, 10, FALSE), 1)</f>
        <v>3.8951343138132655E-3</v>
      </c>
      <c r="E6" s="7">
        <f>$B6 * IFERROR(VLOOKUP("transport|NOx|Asthma symptoms cough", US_national_yearly!$D:$AM, 13, FALSE) / VLOOKUP("transport|NOx|Asthma symptoms cough", US_national_yearly!$D:$AM, 10, FALSE), 1)</f>
        <v>3.9469698160490988E-3</v>
      </c>
      <c r="F6" s="7">
        <f>$B6 * IFERROR(VLOOKUP("transport|NOx|Asthma symptoms cough", US_national_yearly!$D:$AM, 14, FALSE) / VLOOKUP("transport|NOx|Asthma symptoms cough", US_national_yearly!$D:$AM, 10, FALSE), 1)</f>
        <v>3.9988053182849316E-3</v>
      </c>
      <c r="G6" s="7">
        <f>$B6 * IFERROR(VLOOKUP("transport|NOx|Asthma symptoms cough", US_national_yearly!$D:$AM, 15, FALSE) / VLOOKUP("transport|NOx|Asthma symptoms cough", US_national_yearly!$D:$AM, 10, FALSE), 1)</f>
        <v>4.0401887232981767E-3</v>
      </c>
      <c r="H6" s="7">
        <f>$B6 * IFERROR(VLOOKUP("transport|NOx|Asthma symptoms cough", US_national_yearly!$D:$AM, 16, FALSE) / VLOOKUP("transport|NOx|Asthma symptoms cough", US_national_yearly!$D:$AM, 10, FALSE), 1)</f>
        <v>4.0815721283114217E-3</v>
      </c>
      <c r="I6" s="7">
        <f>$B6 * IFERROR(VLOOKUP("transport|NOx|Asthma symptoms cough", US_national_yearly!$D:$AM, 17, FALSE) / VLOOKUP("transport|NOx|Asthma symptoms cough", US_national_yearly!$D:$AM, 10, FALSE), 1)</f>
        <v>4.0958157047101141E-3</v>
      </c>
      <c r="J6" s="7">
        <f>$B6 * IFERROR(VLOOKUP("transport|NOx|Asthma symptoms cough", US_national_yearly!$D:$AM, 18, FALSE) / VLOOKUP("transport|NOx|Asthma symptoms cough", US_national_yearly!$D:$AM, 10, FALSE), 1)</f>
        <v>4.1100592811088073E-3</v>
      </c>
      <c r="K6" s="7">
        <f>$B6 * IFERROR(VLOOKUP("transport|NOx|Asthma symptoms cough", US_national_yearly!$D:$AM, 19, FALSE) / VLOOKUP("transport|NOx|Asthma symptoms cough", US_national_yearly!$D:$AM, 10, FALSE), 1)</f>
        <v>4.1243028575074997E-3</v>
      </c>
      <c r="L6" s="7">
        <f>$B6 * IFERROR(VLOOKUP("transport|NOx|Asthma symptoms cough", US_national_yearly!$D:$AM, 20, FALSE) / VLOOKUP("transport|NOx|Asthma symptoms cough", US_national_yearly!$D:$AM, 10, FALSE), 1)</f>
        <v>4.1385464339061921E-3</v>
      </c>
      <c r="M6" s="7">
        <f>$B6 * IFERROR(VLOOKUP("transport|NOx|Asthma symptoms cough", US_national_yearly!$D:$AM, 21, FALSE) / VLOOKUP("transport|NOx|Asthma symptoms cough", US_national_yearly!$D:$AM, 10, FALSE), 1)</f>
        <v>4.1527900103048854E-3</v>
      </c>
      <c r="N6" s="7">
        <f>$B6 * IFERROR(VLOOKUP("transport|NOx|Asthma symptoms cough", US_national_yearly!$D:$AM, 22, FALSE) / VLOOKUP("transport|NOx|Asthma symptoms cough", US_national_yearly!$D:$AM, 10, FALSE), 1)</f>
        <v>4.1693064978194135E-3</v>
      </c>
      <c r="O6" s="7">
        <f>$B6 * IFERROR(VLOOKUP("transport|NOx|Asthma symptoms cough", US_national_yearly!$D:$AM, 23, FALSE) / VLOOKUP("transport|NOx|Asthma symptoms cough", US_national_yearly!$D:$AM, 10, FALSE), 1)</f>
        <v>4.1858229853339417E-3</v>
      </c>
      <c r="P6" s="7">
        <f>$B6 * IFERROR(VLOOKUP("transport|NOx|Asthma symptoms cough", US_national_yearly!$D:$AM, 24, FALSE) / VLOOKUP("transport|NOx|Asthma symptoms cough", US_national_yearly!$D:$AM, 10, FALSE), 1)</f>
        <v>4.2023394728484698E-3</v>
      </c>
      <c r="Q6" s="7">
        <f>$B6 * IFERROR(VLOOKUP("transport|NOx|Asthma symptoms cough", US_national_yearly!$D:$AM, 25, FALSE) / VLOOKUP("transport|NOx|Asthma symptoms cough", US_national_yearly!$D:$AM, 10, FALSE), 1)</f>
        <v>4.2188559603629988E-3</v>
      </c>
      <c r="R6" s="7">
        <f>$B6 * IFERROR(VLOOKUP("transport|NOx|Asthma symptoms cough", US_national_yearly!$D:$AM, 26, FALSE) / VLOOKUP("transport|NOx|Asthma symptoms cough", US_national_yearly!$D:$AM, 10, FALSE), 1)</f>
        <v>4.2353724478775261E-3</v>
      </c>
      <c r="S6" s="7">
        <f>$B6 * IFERROR(VLOOKUP("transport|NOx|Asthma symptoms cough", US_national_yearly!$D:$AM, 27, FALSE) / VLOOKUP("transport|NOx|Asthma symptoms cough", US_national_yearly!$D:$AM, 10, FALSE), 1)</f>
        <v>4.2569482410337936E-3</v>
      </c>
      <c r="T6" s="7">
        <f>$B6 * IFERROR(VLOOKUP("transport|NOx|Asthma symptoms cough", US_national_yearly!$D:$AM, 28, FALSE) / VLOOKUP("transport|NOx|Asthma symptoms cough", US_national_yearly!$D:$AM, 10, FALSE), 1)</f>
        <v>4.2785240341900602E-3</v>
      </c>
      <c r="U6" s="7">
        <f>$B6 * IFERROR(VLOOKUP("transport|NOx|Asthma symptoms cough", US_national_yearly!$D:$AM, 29, FALSE) / VLOOKUP("transport|NOx|Asthma symptoms cough", US_national_yearly!$D:$AM, 10, FALSE), 1)</f>
        <v>4.3000998273463259E-3</v>
      </c>
      <c r="V6" s="7">
        <f>$B6 * IFERROR(VLOOKUP("transport|NOx|Asthma symptoms cough", US_national_yearly!$D:$AM, 30, FALSE) / VLOOKUP("transport|NOx|Asthma symptoms cough", US_national_yearly!$D:$AM, 10, FALSE), 1)</f>
        <v>4.3216756205025934E-3</v>
      </c>
      <c r="W6" s="7">
        <f>$B6 * IFERROR(VLOOKUP("transport|NOx|Asthma symptoms cough", US_national_yearly!$D:$AM, 31, FALSE) / VLOOKUP("transport|NOx|Asthma symptoms cough", US_national_yearly!$D:$AM, 10, FALSE), 1)</f>
        <v>4.34325141365886E-3</v>
      </c>
      <c r="X6" s="7">
        <f>$B6 * IFERROR(VLOOKUP("transport|NOx|Asthma symptoms cough", US_national_yearly!$D:$AM, 32, FALSE) / VLOOKUP("transport|NOx|Asthma symptoms cough", US_national_yearly!$D:$AM, 10, FALSE), 1)</f>
        <v>4.3632984256306885E-3</v>
      </c>
      <c r="Y6" s="7">
        <f>$B6 * IFERROR(VLOOKUP("transport|NOx|Asthma symptoms cough", US_national_yearly!$D:$AM, 33, FALSE) / VLOOKUP("transport|NOx|Asthma symptoms cough", US_national_yearly!$D:$AM, 10, FALSE), 1)</f>
        <v>4.383345437602517E-3</v>
      </c>
      <c r="Z6" s="7">
        <f>$B6 * IFERROR(VLOOKUP("transport|NOx|Asthma symptoms cough", US_national_yearly!$D:$AM, 34, FALSE) / VLOOKUP("transport|NOx|Asthma symptoms cough", US_national_yearly!$D:$AM, 10, FALSE), 1)</f>
        <v>4.4033924495743455E-3</v>
      </c>
      <c r="AA6" s="7">
        <f>$B6 * IFERROR(VLOOKUP("transport|NOx|Asthma symptoms cough", US_national_yearly!$D:$AM, 35, FALSE) / VLOOKUP("transport|NOx|Asthma symptoms cough", US_national_yearly!$D:$AM, 10, FALSE), 1)</f>
        <v>4.423439461546174E-3</v>
      </c>
      <c r="AB6" s="7">
        <f>$B6 * IFERROR(VLOOKUP("transport|NOx|Asthma symptoms cough", US_national_yearly!$D:$AM, 36, FALSE) / VLOOKUP("transport|NOx|Asthma symptoms cough", US_national_yearly!$D:$AM, 10, FALSE), 1)</f>
        <v>4.4434864735180034E-3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5.1055403755256223E-3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5.1753414596325438E-3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5.2451425437394636E-3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5.314943627846385E-3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5.3847447119533057E-3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5.4404711235217437E-3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5.4961975350901818E-3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5.5153777692056221E-3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5.5345580033210615E-3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5.5537382374365009E-3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5.5729184715519412E-3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5.5920987056673806E-3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5.6143396154991866E-3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5.6365805253309927E-3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5.6588214351627978E-3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5.6810623449946038E-3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5.7033032548264098E-3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5.7323569668254592E-3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5.7614106788245103E-3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5.7904643908235605E-3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5.819518102822609E-3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5.8485718148216593E-3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5.8755668878495097E-3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5.9025619608773609E-3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5.9295570339052131E-3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5.9565521069330643E-3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5.9835471799609156E-3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7.8011673322730801E-3</v>
      </c>
      <c r="C8" s="7">
        <f>$B8 * IFERROR(VLOOKUP("transport|NOx|Asthma symptoms wheeze", US_national_yearly!$D:$AM, 11, FALSE) / VLOOKUP("transport|NOx|Asthma symptoms wheeze", US_national_yearly!$D:$AM, 10, FALSE), 1)</f>
        <v>7.9078220442560347E-3</v>
      </c>
      <c r="D8" s="7">
        <f>$B8 * IFERROR(VLOOKUP("transport|NOx|Asthma symptoms wheeze", US_national_yearly!$D:$AM, 12, FALSE) / VLOOKUP("transport|NOx|Asthma symptoms wheeze", US_national_yearly!$D:$AM, 10, FALSE), 1)</f>
        <v>8.0144767562389911E-3</v>
      </c>
      <c r="E8" s="7">
        <f>$B8 * IFERROR(VLOOKUP("transport|NOx|Asthma symptoms wheeze", US_national_yearly!$D:$AM, 13, FALSE) / VLOOKUP("transport|NOx|Asthma symptoms wheeze", US_national_yearly!$D:$AM, 10, FALSE), 1)</f>
        <v>8.1211314682219458E-3</v>
      </c>
      <c r="F8" s="7">
        <f>$B8 * IFERROR(VLOOKUP("transport|NOx|Asthma symptoms wheeze", US_national_yearly!$D:$AM, 14, FALSE) / VLOOKUP("transport|NOx|Asthma symptoms wheeze", US_national_yearly!$D:$AM, 10, FALSE), 1)</f>
        <v>8.2277861802049004E-3</v>
      </c>
      <c r="G8" s="7">
        <f>$B8 * IFERROR(VLOOKUP("transport|NOx|Asthma symptoms wheeze", US_national_yearly!$D:$AM, 15, FALSE) / VLOOKUP("transport|NOx|Asthma symptoms wheeze", US_national_yearly!$D:$AM, 10, FALSE), 1)</f>
        <v>8.3129350637976308E-3</v>
      </c>
      <c r="H8" s="7">
        <f>$B8 * IFERROR(VLOOKUP("transport|NOx|Asthma symptoms wheeze", US_national_yearly!$D:$AM, 16, FALSE) / VLOOKUP("transport|NOx|Asthma symptoms wheeze", US_national_yearly!$D:$AM, 10, FALSE), 1)</f>
        <v>8.398083947390363E-3</v>
      </c>
      <c r="I8" s="7">
        <f>$B8 * IFERROR(VLOOKUP("transport|NOx|Asthma symptoms wheeze", US_national_yearly!$D:$AM, 17, FALSE) / VLOOKUP("transport|NOx|Asthma symptoms wheeze", US_national_yearly!$D:$AM, 10, FALSE), 1)</f>
        <v>8.4273909759639554E-3</v>
      </c>
      <c r="J8" s="7">
        <f>$B8 * IFERROR(VLOOKUP("transport|NOx|Asthma symptoms wheeze", US_national_yearly!$D:$AM, 18, FALSE) / VLOOKUP("transport|NOx|Asthma symptoms wheeze", US_national_yearly!$D:$AM, 10, FALSE), 1)</f>
        <v>8.4566980045375512E-3</v>
      </c>
      <c r="K8" s="7">
        <f>$B8 * IFERROR(VLOOKUP("transport|NOx|Asthma symptoms wheeze", US_national_yearly!$D:$AM, 19, FALSE) / VLOOKUP("transport|NOx|Asthma symptoms wheeze", US_national_yearly!$D:$AM, 10, FALSE), 1)</f>
        <v>8.4860050331111419E-3</v>
      </c>
      <c r="L8" s="7">
        <f>$B8 * IFERROR(VLOOKUP("transport|NOx|Asthma symptoms wheeze", US_national_yearly!$D:$AM, 20, FALSE) / VLOOKUP("transport|NOx|Asthma symptoms wheeze", US_national_yearly!$D:$AM, 10, FALSE), 1)</f>
        <v>8.5153120616847378E-3</v>
      </c>
      <c r="M8" s="7">
        <f>$B8 * IFERROR(VLOOKUP("transport|NOx|Asthma symptoms wheeze", US_national_yearly!$D:$AM, 21, FALSE) / VLOOKUP("transport|NOx|Asthma symptoms wheeze", US_national_yearly!$D:$AM, 10, FALSE), 1)</f>
        <v>8.5446190902583301E-3</v>
      </c>
      <c r="N8" s="7">
        <f>$B8 * IFERROR(VLOOKUP("transport|NOx|Asthma symptoms wheeze", US_national_yearly!$D:$AM, 22, FALSE) / VLOOKUP("transport|NOx|Asthma symptoms wheeze", US_national_yearly!$D:$AM, 10, FALSE), 1)</f>
        <v>8.5786027723173692E-3</v>
      </c>
      <c r="O8" s="7">
        <f>$B8 * IFERROR(VLOOKUP("transport|NOx|Asthma symptoms wheeze", US_national_yearly!$D:$AM, 23, FALSE) / VLOOKUP("transport|NOx|Asthma symptoms wheeze", US_national_yearly!$D:$AM, 10, FALSE), 1)</f>
        <v>8.61258645437641E-3</v>
      </c>
      <c r="P8" s="7">
        <f>$B8 * IFERROR(VLOOKUP("transport|NOx|Asthma symptoms wheeze", US_national_yearly!$D:$AM, 24, FALSE) / VLOOKUP("transport|NOx|Asthma symptoms wheeze", US_national_yearly!$D:$AM, 10, FALSE), 1)</f>
        <v>8.646570136435449E-3</v>
      </c>
      <c r="Q8" s="7">
        <f>$B8 * IFERROR(VLOOKUP("transport|NOx|Asthma symptoms wheeze", US_national_yearly!$D:$AM, 25, FALSE) / VLOOKUP("transport|NOx|Asthma symptoms wheeze", US_national_yearly!$D:$AM, 10, FALSE), 1)</f>
        <v>8.6805538184944898E-3</v>
      </c>
      <c r="R8" s="7">
        <f>$B8 * IFERROR(VLOOKUP("transport|NOx|Asthma symptoms wheeze", US_national_yearly!$D:$AM, 26, FALSE) / VLOOKUP("transport|NOx|Asthma symptoms wheeze", US_national_yearly!$D:$AM, 10, FALSE), 1)</f>
        <v>8.7145375005535305E-3</v>
      </c>
      <c r="S8" s="7">
        <f>$B8 * IFERROR(VLOOKUP("transport|NOx|Asthma symptoms wheeze", US_national_yearly!$D:$AM, 27, FALSE) / VLOOKUP("transport|NOx|Asthma symptoms wheeze", US_national_yearly!$D:$AM, 10, FALSE), 1)</f>
        <v>8.75893101301887E-3</v>
      </c>
      <c r="T8" s="7">
        <f>$B8 * IFERROR(VLOOKUP("transport|NOx|Asthma symptoms wheeze", US_national_yearly!$D:$AM, 28, FALSE) / VLOOKUP("transport|NOx|Asthma symptoms wheeze", US_national_yearly!$D:$AM, 10, FALSE), 1)</f>
        <v>8.8033245254842095E-3</v>
      </c>
      <c r="U8" s="7">
        <f>$B8 * IFERROR(VLOOKUP("transport|NOx|Asthma symptoms wheeze", US_national_yearly!$D:$AM, 29, FALSE) / VLOOKUP("transport|NOx|Asthma symptoms wheeze", US_national_yearly!$D:$AM, 10, FALSE), 1)</f>
        <v>8.8477180379495507E-3</v>
      </c>
      <c r="V8" s="7">
        <f>$B8 * IFERROR(VLOOKUP("transport|NOx|Asthma symptoms wheeze", US_national_yearly!$D:$AM, 30, FALSE) / VLOOKUP("transport|NOx|Asthma symptoms wheeze", US_national_yearly!$D:$AM, 10, FALSE), 1)</f>
        <v>8.8921115504148919E-3</v>
      </c>
      <c r="W8" s="7">
        <f>$B8 * IFERROR(VLOOKUP("transport|NOx|Asthma symptoms wheeze", US_national_yearly!$D:$AM, 31, FALSE) / VLOOKUP("transport|NOx|Asthma symptoms wheeze", US_national_yearly!$D:$AM, 10, FALSE), 1)</f>
        <v>8.9365050628802314E-3</v>
      </c>
      <c r="X8" s="7">
        <f>$B8 * IFERROR(VLOOKUP("transport|NOx|Asthma symptoms wheeze", US_national_yearly!$D:$AM, 32, FALSE) / VLOOKUP("transport|NOx|Asthma symptoms wheeze", US_national_yearly!$D:$AM, 10, FALSE), 1)</f>
        <v>8.9777530146526695E-3</v>
      </c>
      <c r="Y8" s="7">
        <f>$B8 * IFERROR(VLOOKUP("transport|NOx|Asthma symptoms wheeze", US_national_yearly!$D:$AM, 33, FALSE) / VLOOKUP("transport|NOx|Asthma symptoms wheeze", US_national_yearly!$D:$AM, 10, FALSE), 1)</f>
        <v>9.0190009664251076E-3</v>
      </c>
      <c r="Z8" s="7">
        <f>$B8 * IFERROR(VLOOKUP("transport|NOx|Asthma symptoms wheeze", US_national_yearly!$D:$AM, 34, FALSE) / VLOOKUP("transport|NOx|Asthma symptoms wheeze", US_national_yearly!$D:$AM, 10, FALSE), 1)</f>
        <v>9.0602489181975474E-3</v>
      </c>
      <c r="AA8" s="7">
        <f>$B8 * IFERROR(VLOOKUP("transport|NOx|Asthma symptoms wheeze", US_national_yearly!$D:$AM, 35, FALSE) / VLOOKUP("transport|NOx|Asthma symptoms wheeze", US_national_yearly!$D:$AM, 10, FALSE), 1)</f>
        <v>9.1014968699699855E-3</v>
      </c>
      <c r="AB8" s="7">
        <f>$B8 * IFERROR(VLOOKUP("transport|NOx|Asthma symptoms wheeze", US_national_yearly!$D:$AM, 36, FALSE) / VLOOKUP("transport|NOx|Asthma symptoms wheeze", US_national_yearly!$D:$AM, 10, FALSE), 1)</f>
        <v>9.1427448217424254E-3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1.0440397598650655E-4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1.0700829816110746E-4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1.096126203357084E-4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1.1221694251030933E-4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1.1482126468491026E-4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1.1731108532440421E-4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1.1980090596389816E-4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1.2191481487236087E-4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1.2402872378082354E-4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1.2614263268928623E-4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1.2825654159774895E-4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1.3037045050621164E-4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1.3178363667151735E-4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1.331968228368231E-4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1.3461000900212884E-4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1.360231951674346E-4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1.3743638133274032E-4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1.3819352818720165E-4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1.3895067504166299E-4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1.397078218961243E-4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1.4046496875058561E-4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1.4122211560504698E-4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1.4173952711421335E-4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1.4225693862337973E-4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1.4277435013254614E-4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1.4329176164171252E-4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1.4380917315087889E-4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6.4537600800914274E-4</v>
      </c>
      <c r="C13" s="7">
        <f>$B13 * IFERROR(VLOOKUP("transport|NOx|Non-fatal heart attacks", US_national_yearly!$D:$AM, 11, FALSE) / VLOOKUP("transport|NOx|Non-fatal heart attacks", US_national_yearly!$D:$AM, 10, FALSE), 1)</f>
        <v>6.6382673946558226E-4</v>
      </c>
      <c r="D13" s="7">
        <f>$B13 * IFERROR(VLOOKUP("transport|NOx|Non-fatal heart attacks", US_national_yearly!$D:$AM, 12, FALSE) / VLOOKUP("transport|NOx|Non-fatal heart attacks", US_national_yearly!$D:$AM, 10, FALSE), 1)</f>
        <v>6.8227747092202177E-4</v>
      </c>
      <c r="E13" s="7">
        <f>$B13 * IFERROR(VLOOKUP("transport|NOx|Non-fatal heart attacks", US_national_yearly!$D:$AM, 13, FALSE) / VLOOKUP("transport|NOx|Non-fatal heart attacks", US_national_yearly!$D:$AM, 10, FALSE), 1)</f>
        <v>7.0072820237846117E-4</v>
      </c>
      <c r="F13" s="7">
        <f>$B13 * IFERROR(VLOOKUP("transport|NOx|Non-fatal heart attacks", US_national_yearly!$D:$AM, 14, FALSE) / VLOOKUP("transport|NOx|Non-fatal heart attacks", US_national_yearly!$D:$AM, 10, FALSE), 1)</f>
        <v>7.191789338349008E-4</v>
      </c>
      <c r="G13" s="7">
        <f>$B13 * IFERROR(VLOOKUP("transport|NOx|Non-fatal heart attacks", US_national_yearly!$D:$AM, 15, FALSE) / VLOOKUP("transport|NOx|Non-fatal heart attacks", US_national_yearly!$D:$AM, 10, FALSE), 1)</f>
        <v>7.3642110403391897E-4</v>
      </c>
      <c r="H13" s="7">
        <f>$B13 * IFERROR(VLOOKUP("transport|NOx|Non-fatal heart attacks", US_national_yearly!$D:$AM, 16, FALSE) / VLOOKUP("transport|NOx|Non-fatal heart attacks", US_national_yearly!$D:$AM, 10, FALSE), 1)</f>
        <v>7.5366327423293715E-4</v>
      </c>
      <c r="I13" s="7">
        <f>$B13 * IFERROR(VLOOKUP("transport|NOx|Non-fatal heart attacks", US_national_yearly!$D:$AM, 17, FALSE) / VLOOKUP("transport|NOx|Non-fatal heart attacks", US_national_yearly!$D:$AM, 10, FALSE), 1)</f>
        <v>7.6725675446661864E-4</v>
      </c>
      <c r="J13" s="7">
        <f>$B13 * IFERROR(VLOOKUP("transport|NOx|Non-fatal heart attacks", US_national_yearly!$D:$AM, 18, FALSE) / VLOOKUP("transport|NOx|Non-fatal heart attacks", US_national_yearly!$D:$AM, 10, FALSE), 1)</f>
        <v>7.8085023470030014E-4</v>
      </c>
      <c r="K13" s="7">
        <f>$B13 * IFERROR(VLOOKUP("transport|NOx|Non-fatal heart attacks", US_national_yearly!$D:$AM, 19, FALSE) / VLOOKUP("transport|NOx|Non-fatal heart attacks", US_national_yearly!$D:$AM, 10, FALSE), 1)</f>
        <v>7.9444371493398119E-4</v>
      </c>
      <c r="L13" s="7">
        <f>$B13 * IFERROR(VLOOKUP("transport|NOx|Non-fatal heart attacks", US_national_yearly!$D:$AM, 20, FALSE) / VLOOKUP("transport|NOx|Non-fatal heart attacks", US_national_yearly!$D:$AM, 10, FALSE), 1)</f>
        <v>8.0803719516766312E-4</v>
      </c>
      <c r="M13" s="7">
        <f>$B13 * IFERROR(VLOOKUP("transport|NOx|Non-fatal heart attacks", US_national_yearly!$D:$AM, 21, FALSE) / VLOOKUP("transport|NOx|Non-fatal heart attacks", US_national_yearly!$D:$AM, 10, FALSE), 1)</f>
        <v>8.216306754013444E-4</v>
      </c>
      <c r="N13" s="7">
        <f>$B13 * IFERROR(VLOOKUP("transport|NOx|Non-fatal heart attacks", US_national_yearly!$D:$AM, 22, FALSE) / VLOOKUP("transport|NOx|Non-fatal heart attacks", US_national_yearly!$D:$AM, 10, FALSE), 1)</f>
        <v>8.2980892535366221E-4</v>
      </c>
      <c r="O13" s="7">
        <f>$B13 * IFERROR(VLOOKUP("transport|NOx|Non-fatal heart attacks", US_national_yearly!$D:$AM, 23, FALSE) / VLOOKUP("transport|NOx|Non-fatal heart attacks", US_national_yearly!$D:$AM, 10, FALSE), 1)</f>
        <v>8.3798717530598002E-4</v>
      </c>
      <c r="P13" s="7">
        <f>$B13 * IFERROR(VLOOKUP("transport|NOx|Non-fatal heart attacks", US_national_yearly!$D:$AM, 24, FALSE) / VLOOKUP("transport|NOx|Non-fatal heart attacks", US_national_yearly!$D:$AM, 10, FALSE), 1)</f>
        <v>8.4616542525829772E-4</v>
      </c>
      <c r="Q13" s="7">
        <f>$B13 * IFERROR(VLOOKUP("transport|NOx|Non-fatal heart attacks", US_national_yearly!$D:$AM, 25, FALSE) / VLOOKUP("transport|NOx|Non-fatal heart attacks", US_national_yearly!$D:$AM, 10, FALSE), 1)</f>
        <v>8.5434367521061564E-4</v>
      </c>
      <c r="R13" s="7">
        <f>$B13 * IFERROR(VLOOKUP("transport|NOx|Non-fatal heart attacks", US_national_yearly!$D:$AM, 26, FALSE) / VLOOKUP("transport|NOx|Non-fatal heart attacks", US_national_yearly!$D:$AM, 10, FALSE), 1)</f>
        <v>8.6252192516293345E-4</v>
      </c>
      <c r="S13" s="7">
        <f>$B13 * IFERROR(VLOOKUP("transport|NOx|Non-fatal heart attacks", US_national_yearly!$D:$AM, 27, FALSE) / VLOOKUP("transport|NOx|Non-fatal heart attacks", US_national_yearly!$D:$AM, 10, FALSE), 1)</f>
        <v>8.6623163590512388E-4</v>
      </c>
      <c r="T13" s="7">
        <f>$B13 * IFERROR(VLOOKUP("transport|NOx|Non-fatal heart attacks", US_national_yearly!$D:$AM, 28, FALSE) / VLOOKUP("transport|NOx|Non-fatal heart attacks", US_national_yearly!$D:$AM, 10, FALSE), 1)</f>
        <v>8.6994134664731431E-4</v>
      </c>
      <c r="U13" s="7">
        <f>$B13 * IFERROR(VLOOKUP("transport|NOx|Non-fatal heart attacks", US_national_yearly!$D:$AM, 29, FALSE) / VLOOKUP("transport|NOx|Non-fatal heart attacks", US_national_yearly!$D:$AM, 10, FALSE), 1)</f>
        <v>8.7365105738950474E-4</v>
      </c>
      <c r="V13" s="7">
        <f>$B13 * IFERROR(VLOOKUP("transport|NOx|Non-fatal heart attacks", US_national_yearly!$D:$AM, 30, FALSE) / VLOOKUP("transport|NOx|Non-fatal heart attacks", US_national_yearly!$D:$AM, 10, FALSE), 1)</f>
        <v>8.7736076813169507E-4</v>
      </c>
      <c r="W13" s="7">
        <f>$B13 * IFERROR(VLOOKUP("transport|NOx|Non-fatal heart attacks", US_national_yearly!$D:$AM, 31, FALSE) / VLOOKUP("transport|NOx|Non-fatal heart attacks", US_national_yearly!$D:$AM, 10, FALSE), 1)</f>
        <v>8.810704788738855E-4</v>
      </c>
      <c r="X13" s="7">
        <f>$B13 * IFERROR(VLOOKUP("transport|NOx|Non-fatal heart attacks", US_national_yearly!$D:$AM, 32, FALSE) / VLOOKUP("transport|NOx|Non-fatal heart attacks", US_national_yearly!$D:$AM, 10, FALSE), 1)</f>
        <v>8.8354950279015789E-4</v>
      </c>
      <c r="Y13" s="7">
        <f>$B13 * IFERROR(VLOOKUP("transport|NOx|Non-fatal heart attacks", US_national_yearly!$D:$AM, 33, FALSE) / VLOOKUP("transport|NOx|Non-fatal heart attacks", US_national_yearly!$D:$AM, 10, FALSE), 1)</f>
        <v>8.860285267064305E-4</v>
      </c>
      <c r="Z13" s="7">
        <f>$B13 * IFERROR(VLOOKUP("transport|NOx|Non-fatal heart attacks", US_national_yearly!$D:$AM, 34, FALSE) / VLOOKUP("transport|NOx|Non-fatal heart attacks", US_national_yearly!$D:$AM, 10, FALSE), 1)</f>
        <v>8.8850755062270268E-4</v>
      </c>
      <c r="AA13" s="7">
        <f>$B13 * IFERROR(VLOOKUP("transport|NOx|Non-fatal heart attacks", US_national_yearly!$D:$AM, 35, FALSE) / VLOOKUP("transport|NOx|Non-fatal heart attacks", US_national_yearly!$D:$AM, 10, FALSE), 1)</f>
        <v>8.9098657453897507E-4</v>
      </c>
      <c r="AB13" s="7">
        <f>$B13 * IFERROR(VLOOKUP("transport|NOx|Non-fatal heart attacks", US_national_yearly!$D:$AM, 36, FALSE) / VLOOKUP("transport|NOx|Non-fatal heart attacks", US_national_yearly!$D:$AM, 10, FALSE), 1)</f>
        <v>8.9346559845524757E-4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0.4720715448011687</v>
      </c>
      <c r="C14" s="7">
        <f>$B14 * IFERROR(VLOOKUP("transport|NOx|Minor restricted activity days", US_national_yearly!$D:$AM, 11, FALSE) / VLOOKUP("transport|NOx|Minor restricted activity days", US_national_yearly!$D:$AM, 10, FALSE), 1)</f>
        <v>0.47279530970174516</v>
      </c>
      <c r="D14" s="7">
        <f>$B14 * IFERROR(VLOOKUP("transport|NOx|Minor restricted activity days", US_national_yearly!$D:$AM, 12, FALSE) / VLOOKUP("transport|NOx|Minor restricted activity days", US_national_yearly!$D:$AM, 10, FALSE), 1)</f>
        <v>0.47351907460232179</v>
      </c>
      <c r="E14" s="7">
        <f>$B14 * IFERROR(VLOOKUP("transport|NOx|Minor restricted activity days", US_national_yearly!$D:$AM, 13, FALSE) / VLOOKUP("transport|NOx|Minor restricted activity days", US_national_yearly!$D:$AM, 10, FALSE), 1)</f>
        <v>0.47424283950289836</v>
      </c>
      <c r="F14" s="7">
        <f>$B14 * IFERROR(VLOOKUP("transport|NOx|Minor restricted activity days", US_national_yearly!$D:$AM, 14, FALSE) / VLOOKUP("transport|NOx|Minor restricted activity days", US_national_yearly!$D:$AM, 10, FALSE), 1)</f>
        <v>0.47496660440347482</v>
      </c>
      <c r="G14" s="7">
        <f>$B14 * IFERROR(VLOOKUP("transport|NOx|Minor restricted activity days", US_national_yearly!$D:$AM, 15, FALSE) / VLOOKUP("transport|NOx|Minor restricted activity days", US_national_yearly!$D:$AM, 10, FALSE), 1)</f>
        <v>0.47627355154306672</v>
      </c>
      <c r="H14" s="7">
        <f>$B14 * IFERROR(VLOOKUP("transport|NOx|Minor restricted activity days", US_national_yearly!$D:$AM, 16, FALSE) / VLOOKUP("transport|NOx|Minor restricted activity days", US_national_yearly!$D:$AM, 10, FALSE), 1)</f>
        <v>0.47758049868265845</v>
      </c>
      <c r="I14" s="7">
        <f>$B14 * IFERROR(VLOOKUP("transport|NOx|Minor restricted activity days", US_national_yearly!$D:$AM, 17, FALSE) / VLOOKUP("transport|NOx|Minor restricted activity days", US_national_yearly!$D:$AM, 10, FALSE), 1)</f>
        <v>0.48013683560566245</v>
      </c>
      <c r="J14" s="7">
        <f>$B14 * IFERROR(VLOOKUP("transport|NOx|Minor restricted activity days", US_national_yearly!$D:$AM, 18, FALSE) / VLOOKUP("transport|NOx|Minor restricted activity days", US_national_yearly!$D:$AM, 10, FALSE), 1)</f>
        <v>0.48269317252866628</v>
      </c>
      <c r="K14" s="7">
        <f>$B14 * IFERROR(VLOOKUP("transport|NOx|Minor restricted activity days", US_national_yearly!$D:$AM, 19, FALSE) / VLOOKUP("transport|NOx|Minor restricted activity days", US_national_yearly!$D:$AM, 10, FALSE), 1)</f>
        <v>0.48524950945167022</v>
      </c>
      <c r="L14" s="7">
        <f>$B14 * IFERROR(VLOOKUP("transport|NOx|Minor restricted activity days", US_national_yearly!$D:$AM, 20, FALSE) / VLOOKUP("transport|NOx|Minor restricted activity days", US_national_yearly!$D:$AM, 10, FALSE), 1)</f>
        <v>0.48780584637467406</v>
      </c>
      <c r="M14" s="7">
        <f>$B14 * IFERROR(VLOOKUP("transport|NOx|Minor restricted activity days", US_national_yearly!$D:$AM, 21, FALSE) / VLOOKUP("transport|NOx|Minor restricted activity days", US_national_yearly!$D:$AM, 10, FALSE), 1)</f>
        <v>0.490362183297678</v>
      </c>
      <c r="N14" s="7">
        <f>$B14 * IFERROR(VLOOKUP("transport|NOx|Minor restricted activity days", US_national_yearly!$D:$AM, 22, FALSE) / VLOOKUP("transport|NOx|Minor restricted activity days", US_national_yearly!$D:$AM, 10, FALSE), 1)</f>
        <v>0.49402227813457694</v>
      </c>
      <c r="O14" s="7">
        <f>$B14 * IFERROR(VLOOKUP("transport|NOx|Minor restricted activity days", US_national_yearly!$D:$AM, 23, FALSE) / VLOOKUP("transport|NOx|Minor restricted activity days", US_national_yearly!$D:$AM, 10, FALSE), 1)</f>
        <v>0.49768237297147588</v>
      </c>
      <c r="P14" s="7">
        <f>$B14 * IFERROR(VLOOKUP("transport|NOx|Minor restricted activity days", US_national_yearly!$D:$AM, 24, FALSE) / VLOOKUP("transport|NOx|Minor restricted activity days", US_national_yearly!$D:$AM, 10, FALSE), 1)</f>
        <v>0.50134246780837488</v>
      </c>
      <c r="Q14" s="7">
        <f>$B14 * IFERROR(VLOOKUP("transport|NOx|Minor restricted activity days", US_national_yearly!$D:$AM, 25, FALSE) / VLOOKUP("transport|NOx|Minor restricted activity days", US_national_yearly!$D:$AM, 10, FALSE), 1)</f>
        <v>0.50500256264527377</v>
      </c>
      <c r="R14" s="7">
        <f>$B14 * IFERROR(VLOOKUP("transport|NOx|Minor restricted activity days", US_national_yearly!$D:$AM, 26, FALSE) / VLOOKUP("transport|NOx|Minor restricted activity days", US_national_yearly!$D:$AM, 10, FALSE), 1)</f>
        <v>0.50866265748217276</v>
      </c>
      <c r="S14" s="7">
        <f>$B14 * IFERROR(VLOOKUP("transport|NOx|Minor restricted activity days", US_national_yearly!$D:$AM, 27, FALSE) / VLOOKUP("transport|NOx|Minor restricted activity days", US_national_yearly!$D:$AM, 10, FALSE), 1)</f>
        <v>0.51232198279196606</v>
      </c>
      <c r="T14" s="7">
        <f>$B14 * IFERROR(VLOOKUP("transport|NOx|Minor restricted activity days", US_national_yearly!$D:$AM, 28, FALSE) / VLOOKUP("transport|NOx|Minor restricted activity days", US_national_yearly!$D:$AM, 10, FALSE), 1)</f>
        <v>0.51598130810175924</v>
      </c>
      <c r="U14" s="7">
        <f>$B14 * IFERROR(VLOOKUP("transport|NOx|Minor restricted activity days", US_national_yearly!$D:$AM, 29, FALSE) / VLOOKUP("transport|NOx|Minor restricted activity days", US_national_yearly!$D:$AM, 10, FALSE), 1)</f>
        <v>0.51964063341155264</v>
      </c>
      <c r="V14" s="7">
        <f>$B14 * IFERROR(VLOOKUP("transport|NOx|Minor restricted activity days", US_national_yearly!$D:$AM, 30, FALSE) / VLOOKUP("transport|NOx|Minor restricted activity days", US_national_yearly!$D:$AM, 10, FALSE), 1)</f>
        <v>0.52329995872134594</v>
      </c>
      <c r="W14" s="7">
        <f>$B14 * IFERROR(VLOOKUP("transport|NOx|Minor restricted activity days", US_national_yearly!$D:$AM, 31, FALSE) / VLOOKUP("transport|NOx|Minor restricted activity days", US_national_yearly!$D:$AM, 10, FALSE), 1)</f>
        <v>0.52695928403113923</v>
      </c>
      <c r="X14" s="7">
        <f>$B14 * IFERROR(VLOOKUP("transport|NOx|Minor restricted activity days", US_national_yearly!$D:$AM, 32, FALSE) / VLOOKUP("transport|NOx|Minor restricted activity days", US_national_yearly!$D:$AM, 10, FALSE), 1)</f>
        <v>0.53005310417553497</v>
      </c>
      <c r="Y14" s="7">
        <f>$B14 * IFERROR(VLOOKUP("transport|NOx|Minor restricted activity days", US_national_yearly!$D:$AM, 33, FALSE) / VLOOKUP("transport|NOx|Minor restricted activity days", US_national_yearly!$D:$AM, 10, FALSE), 1)</f>
        <v>0.53314692431993083</v>
      </c>
      <c r="Z14" s="7">
        <f>$B14 * IFERROR(VLOOKUP("transport|NOx|Minor restricted activity days", US_national_yearly!$D:$AM, 34, FALSE) / VLOOKUP("transport|NOx|Minor restricted activity days", US_national_yearly!$D:$AM, 10, FALSE), 1)</f>
        <v>0.53624074446432668</v>
      </c>
      <c r="AA14" s="7">
        <f>$B14 * IFERROR(VLOOKUP("transport|NOx|Minor restricted activity days", US_national_yearly!$D:$AM, 35, FALSE) / VLOOKUP("transport|NOx|Minor restricted activity days", US_national_yearly!$D:$AM, 10, FALSE), 1)</f>
        <v>0.53933456460872242</v>
      </c>
      <c r="AB14" s="7">
        <f>$B14 * IFERROR(VLOOKUP("transport|NOx|Minor restricted activity days", US_national_yearly!$D:$AM, 36, FALSE) / VLOOKUP("transport|NOx|Minor restricted activity days", US_national_yearly!$D:$AM, 10, FALSE), 1)</f>
        <v>0.54242838475311828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7.961152918521304E-2</v>
      </c>
      <c r="C15" s="7">
        <f>$B15 * IFERROR(VLOOKUP("transport|NOx|Work loss days", US_national_yearly!$D:$AM, 11, FALSE) / VLOOKUP("transport|NOx|Work loss days", US_national_yearly!$D:$AM, 10, FALSE), 1)</f>
        <v>7.9788620749055808E-2</v>
      </c>
      <c r="D15" s="7">
        <f>$B15 * IFERROR(VLOOKUP("transport|NOx|Work loss days", US_national_yearly!$D:$AM, 12, FALSE) / VLOOKUP("transport|NOx|Work loss days", US_national_yearly!$D:$AM, 10, FALSE), 1)</f>
        <v>7.9965712312898604E-2</v>
      </c>
      <c r="E15" s="7">
        <f>$B15 * IFERROR(VLOOKUP("transport|NOx|Work loss days", US_national_yearly!$D:$AM, 13, FALSE) / VLOOKUP("transport|NOx|Work loss days", US_national_yearly!$D:$AM, 10, FALSE), 1)</f>
        <v>8.0142803876741386E-2</v>
      </c>
      <c r="F15" s="7">
        <f>$B15 * IFERROR(VLOOKUP("transport|NOx|Work loss days", US_national_yearly!$D:$AM, 14, FALSE) / VLOOKUP("transport|NOx|Work loss days", US_national_yearly!$D:$AM, 10, FALSE), 1)</f>
        <v>8.0319895440584169E-2</v>
      </c>
      <c r="G15" s="7">
        <f>$B15 * IFERROR(VLOOKUP("transport|NOx|Work loss days", US_national_yearly!$D:$AM, 15, FALSE) / VLOOKUP("transport|NOx|Work loss days", US_national_yearly!$D:$AM, 10, FALSE), 1)</f>
        <v>8.0578450634464296E-2</v>
      </c>
      <c r="H15" s="7">
        <f>$B15 * IFERROR(VLOOKUP("transport|NOx|Work loss days", US_national_yearly!$D:$AM, 16, FALSE) / VLOOKUP("transport|NOx|Work loss days", US_national_yearly!$D:$AM, 10, FALSE), 1)</f>
        <v>8.0837005828344452E-2</v>
      </c>
      <c r="I15" s="7">
        <f>$B15 * IFERROR(VLOOKUP("transport|NOx|Work loss days", US_national_yearly!$D:$AM, 17, FALSE) / VLOOKUP("transport|NOx|Work loss days", US_national_yearly!$D:$AM, 10, FALSE), 1)</f>
        <v>8.1255851229716944E-2</v>
      </c>
      <c r="J15" s="7">
        <f>$B15 * IFERROR(VLOOKUP("transport|NOx|Work loss days", US_national_yearly!$D:$AM, 18, FALSE) / VLOOKUP("transport|NOx|Work loss days", US_national_yearly!$D:$AM, 10, FALSE), 1)</f>
        <v>8.167469663108945E-2</v>
      </c>
      <c r="K15" s="7">
        <f>$B15 * IFERROR(VLOOKUP("transport|NOx|Work loss days", US_national_yearly!$D:$AM, 19, FALSE) / VLOOKUP("transport|NOx|Work loss days", US_national_yearly!$D:$AM, 10, FALSE), 1)</f>
        <v>8.2093542032461955E-2</v>
      </c>
      <c r="L15" s="7">
        <f>$B15 * IFERROR(VLOOKUP("transport|NOx|Work loss days", US_national_yearly!$D:$AM, 20, FALSE) / VLOOKUP("transport|NOx|Work loss days", US_national_yearly!$D:$AM, 10, FALSE), 1)</f>
        <v>8.2512387433834447E-2</v>
      </c>
      <c r="M15" s="7">
        <f>$B15 * IFERROR(VLOOKUP("transport|NOx|Work loss days", US_national_yearly!$D:$AM, 21, FALSE) / VLOOKUP("transport|NOx|Work loss days", US_national_yearly!$D:$AM, 10, FALSE), 1)</f>
        <v>8.2931232835206953E-2</v>
      </c>
      <c r="N15" s="7">
        <f>$B15 * IFERROR(VLOOKUP("transport|NOx|Work loss days", US_national_yearly!$D:$AM, 22, FALSE) / VLOOKUP("transport|NOx|Work loss days", US_national_yearly!$D:$AM, 10, FALSE), 1)</f>
        <v>8.3476334423594617E-2</v>
      </c>
      <c r="O15" s="7">
        <f>$B15 * IFERROR(VLOOKUP("transport|NOx|Work loss days", US_national_yearly!$D:$AM, 23, FALSE) / VLOOKUP("transport|NOx|Work loss days", US_national_yearly!$D:$AM, 10, FALSE), 1)</f>
        <v>8.4021436011982267E-2</v>
      </c>
      <c r="P15" s="7">
        <f>$B15 * IFERROR(VLOOKUP("transport|NOx|Work loss days", US_national_yearly!$D:$AM, 24, FALSE) / VLOOKUP("transport|NOx|Work loss days", US_national_yearly!$D:$AM, 10, FALSE), 1)</f>
        <v>8.4566537600369918E-2</v>
      </c>
      <c r="Q15" s="7">
        <f>$B15 * IFERROR(VLOOKUP("transport|NOx|Work loss days", US_national_yearly!$D:$AM, 25, FALSE) / VLOOKUP("transport|NOx|Work loss days", US_national_yearly!$D:$AM, 10, FALSE), 1)</f>
        <v>8.5111639188757554E-2</v>
      </c>
      <c r="R15" s="7">
        <f>$B15 * IFERROR(VLOOKUP("transport|NOx|Work loss days", US_national_yearly!$D:$AM, 26, FALSE) / VLOOKUP("transport|NOx|Work loss days", US_national_yearly!$D:$AM, 10, FALSE), 1)</f>
        <v>8.5656740777145232E-2</v>
      </c>
      <c r="S15" s="7">
        <f>$B15 * IFERROR(VLOOKUP("transport|NOx|Work loss days", US_national_yearly!$D:$AM, 27, FALSE) / VLOOKUP("transport|NOx|Work loss days", US_national_yearly!$D:$AM, 10, FALSE), 1)</f>
        <v>8.6264459350415615E-2</v>
      </c>
      <c r="T15" s="7">
        <f>$B15 * IFERROR(VLOOKUP("transport|NOx|Work loss days", US_national_yearly!$D:$AM, 28, FALSE) / VLOOKUP("transport|NOx|Work loss days", US_national_yearly!$D:$AM, 10, FALSE), 1)</f>
        <v>8.6872177923686011E-2</v>
      </c>
      <c r="U15" s="7">
        <f>$B15 * IFERROR(VLOOKUP("transport|NOx|Work loss days", US_national_yearly!$D:$AM, 29, FALSE) / VLOOKUP("transport|NOx|Work loss days", US_national_yearly!$D:$AM, 10, FALSE), 1)</f>
        <v>8.747989649695638E-2</v>
      </c>
      <c r="V15" s="7">
        <f>$B15 * IFERROR(VLOOKUP("transport|NOx|Work loss days", US_national_yearly!$D:$AM, 30, FALSE) / VLOOKUP("transport|NOx|Work loss days", US_national_yearly!$D:$AM, 10, FALSE), 1)</f>
        <v>8.8087615070226763E-2</v>
      </c>
      <c r="W15" s="7">
        <f>$B15 * IFERROR(VLOOKUP("transport|NOx|Work loss days", US_national_yearly!$D:$AM, 31, FALSE) / VLOOKUP("transport|NOx|Work loss days", US_national_yearly!$D:$AM, 10, FALSE), 1)</f>
        <v>8.8695333643497146E-2</v>
      </c>
      <c r="X15" s="7">
        <f>$B15 * IFERROR(VLOOKUP("transport|NOx|Work loss days", US_national_yearly!$D:$AM, 32, FALSE) / VLOOKUP("transport|NOx|Work loss days", US_national_yearly!$D:$AM, 10, FALSE), 1)</f>
        <v>8.9222800963522322E-2</v>
      </c>
      <c r="Y15" s="7">
        <f>$B15 * IFERROR(VLOOKUP("transport|NOx|Work loss days", US_national_yearly!$D:$AM, 33, FALSE) / VLOOKUP("transport|NOx|Work loss days", US_national_yearly!$D:$AM, 10, FALSE), 1)</f>
        <v>8.9750268283547513E-2</v>
      </c>
      <c r="Z15" s="7">
        <f>$B15 * IFERROR(VLOOKUP("transport|NOx|Work loss days", US_national_yearly!$D:$AM, 34, FALSE) / VLOOKUP("transport|NOx|Work loss days", US_national_yearly!$D:$AM, 10, FALSE), 1)</f>
        <v>9.027773560357269E-2</v>
      </c>
      <c r="AA15" s="7">
        <f>$B15 * IFERROR(VLOOKUP("transport|NOx|Work loss days", US_national_yearly!$D:$AM, 35, FALSE) / VLOOKUP("transport|NOx|Work loss days", US_national_yearly!$D:$AM, 10, FALSE), 1)</f>
        <v>9.0805202923597866E-2</v>
      </c>
      <c r="AB15" s="7">
        <f>$B15 * IFERROR(VLOOKUP("transport|NOx|Work loss days", US_national_yearly!$D:$AM, 36, FALSE) / VLOOKUP("transport|NOx|Work loss days", US_national_yearly!$D:$AM, 10, FALSE), 1)</f>
        <v>9.1332670243623043E-2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1.5087535300526651E-4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1.5530876968842462E-4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1.5974218637158268E-4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1.6417560305474077E-4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1.6860901973789885E-4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1.7282003241239505E-4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1.770310450868913E-4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1.8057218188485095E-4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1.8411331868281063E-4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1.8765445548077028E-4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1.9119559227872995E-4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1.9473672907668966E-4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1.9695111925126319E-4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1.9916550942583678E-4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2.0137989960041032E-4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2.035942897749839E-4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2.0580867994955744E-4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2.068190453779967E-4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2.0782941080643599E-4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2.0883977623487523E-4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2.0985014166331449E-4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2.1086050709175376E-4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2.1142281048166047E-4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2.1198511387156716E-4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2.1254741726147388E-4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2.1310972065138057E-4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2.1367202404128728E-4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1.0348090675512119E-2</v>
      </c>
      <c r="C2" s="7">
        <f>$B2 * IFERROR(VLOOKUP("transport|SO2|Premature mortality", US_national_yearly!$D:$AM, 11, FALSE) / VLOOKUP("transport|SO2|Premature mortality", US_national_yearly!$D:$AM, 10, FALSE), 1)</f>
        <v>1.0479143644933688E-2</v>
      </c>
      <c r="D2" s="7">
        <f>$B2 * IFERROR(VLOOKUP("transport|SO2|Premature mortality", US_national_yearly!$D:$AM, 12, FALSE) / VLOOKUP("transport|SO2|Premature mortality", US_national_yearly!$D:$AM, 10, FALSE), 1)</f>
        <v>1.061019661435526E-2</v>
      </c>
      <c r="E2" s="7">
        <f>$B2 * IFERROR(VLOOKUP("transport|SO2|Premature mortality", US_national_yearly!$D:$AM, 13, FALSE) / VLOOKUP("transport|SO2|Premature mortality", US_national_yearly!$D:$AM, 10, FALSE), 1)</f>
        <v>1.0741249583776829E-2</v>
      </c>
      <c r="F2" s="7">
        <f>$B2 * IFERROR(VLOOKUP("transport|SO2|Premature mortality", US_national_yearly!$D:$AM, 14, FALSE) / VLOOKUP("transport|SO2|Premature mortality", US_national_yearly!$D:$AM, 10, FALSE), 1)</f>
        <v>1.0872302553198397E-2</v>
      </c>
      <c r="G2" s="7">
        <f>$B2 * IFERROR(VLOOKUP("transport|SO2|Premature mortality", US_national_yearly!$D:$AM, 15, FALSE) / VLOOKUP("transport|SO2|Premature mortality", US_national_yearly!$D:$AM, 10, FALSE), 1)</f>
        <v>1.11248341979972E-2</v>
      </c>
      <c r="H2" s="7">
        <f>$B2 * IFERROR(VLOOKUP("transport|SO2|Premature mortality", US_national_yearly!$D:$AM, 16, FALSE) / VLOOKUP("transport|SO2|Premature mortality", US_national_yearly!$D:$AM, 10, FALSE), 1)</f>
        <v>1.1377365842796002E-2</v>
      </c>
      <c r="I2" s="7">
        <f>$B2 * IFERROR(VLOOKUP("transport|SO2|Premature mortality", US_national_yearly!$D:$AM, 17, FALSE) / VLOOKUP("transport|SO2|Premature mortality", US_national_yearly!$D:$AM, 10, FALSE), 1)</f>
        <v>1.1544254227307961E-2</v>
      </c>
      <c r="J2" s="7">
        <f>$B2 * IFERROR(VLOOKUP("transport|SO2|Premature mortality", US_national_yearly!$D:$AM, 18, FALSE) / VLOOKUP("transport|SO2|Premature mortality", US_national_yearly!$D:$AM, 10, FALSE), 1)</f>
        <v>1.1711142611819918E-2</v>
      </c>
      <c r="K2" s="7">
        <f>$B2 * IFERROR(VLOOKUP("transport|SO2|Premature mortality", US_national_yearly!$D:$AM, 19, FALSE) / VLOOKUP("transport|SO2|Premature mortality", US_national_yearly!$D:$AM, 10, FALSE), 1)</f>
        <v>1.1878030996331876E-2</v>
      </c>
      <c r="L2" s="7">
        <f>$B2 * IFERROR(VLOOKUP("transport|SO2|Premature mortality", US_national_yearly!$D:$AM, 20, FALSE) / VLOOKUP("transport|SO2|Premature mortality", US_national_yearly!$D:$AM, 10, FALSE), 1)</f>
        <v>1.2044919380843833E-2</v>
      </c>
      <c r="M2" s="7">
        <f>$B2 * IFERROR(VLOOKUP("transport|SO2|Premature mortality", US_national_yearly!$D:$AM, 21, FALSE) / VLOOKUP("transport|SO2|Premature mortality", US_national_yearly!$D:$AM, 10, FALSE), 1)</f>
        <v>1.2211807765355793E-2</v>
      </c>
      <c r="N2" s="7">
        <f>$B2 * IFERROR(VLOOKUP("transport|SO2|Premature mortality", US_national_yearly!$D:$AM, 22, FALSE) / VLOOKUP("transport|SO2|Premature mortality", US_national_yearly!$D:$AM, 10, FALSE), 1)</f>
        <v>1.2342205296532401E-2</v>
      </c>
      <c r="O2" s="7">
        <f>$B2 * IFERROR(VLOOKUP("transport|SO2|Premature mortality", US_national_yearly!$D:$AM, 23, FALSE) / VLOOKUP("transport|SO2|Premature mortality", US_national_yearly!$D:$AM, 10, FALSE), 1)</f>
        <v>1.2472602827709012E-2</v>
      </c>
      <c r="P2" s="7">
        <f>$B2 * IFERROR(VLOOKUP("transport|SO2|Premature mortality", US_national_yearly!$D:$AM, 24, FALSE) / VLOOKUP("transport|SO2|Premature mortality", US_national_yearly!$D:$AM, 10, FALSE), 1)</f>
        <v>1.260300035888562E-2</v>
      </c>
      <c r="Q2" s="7">
        <f>$B2 * IFERROR(VLOOKUP("transport|SO2|Premature mortality", US_national_yearly!$D:$AM, 25, FALSE) / VLOOKUP("transport|SO2|Premature mortality", US_national_yearly!$D:$AM, 10, FALSE), 1)</f>
        <v>1.2733397890062231E-2</v>
      </c>
      <c r="R2" s="7">
        <f>$B2 * IFERROR(VLOOKUP("transport|SO2|Premature mortality", US_national_yearly!$D:$AM, 26, FALSE) / VLOOKUP("transport|SO2|Premature mortality", US_national_yearly!$D:$AM, 10, FALSE), 1)</f>
        <v>1.2863795421238838E-2</v>
      </c>
      <c r="S2" s="7">
        <f>$B2 * IFERROR(VLOOKUP("transport|SO2|Premature mortality", US_national_yearly!$D:$AM, 27, FALSE) / VLOOKUP("transport|SO2|Premature mortality", US_national_yearly!$D:$AM, 10, FALSE), 1)</f>
        <v>1.2933625035453021E-2</v>
      </c>
      <c r="T2" s="7">
        <f>$B2 * IFERROR(VLOOKUP("transport|SO2|Premature mortality", US_national_yearly!$D:$AM, 28, FALSE) / VLOOKUP("transport|SO2|Premature mortality", US_national_yearly!$D:$AM, 10, FALSE), 1)</f>
        <v>1.3003454649667203E-2</v>
      </c>
      <c r="U2" s="7">
        <f>$B2 * IFERROR(VLOOKUP("transport|SO2|Premature mortality", US_national_yearly!$D:$AM, 29, FALSE) / VLOOKUP("transport|SO2|Premature mortality", US_national_yearly!$D:$AM, 10, FALSE), 1)</f>
        <v>1.3073284263881385E-2</v>
      </c>
      <c r="V2" s="7">
        <f>$B2 * IFERROR(VLOOKUP("transport|SO2|Premature mortality", US_national_yearly!$D:$AM, 30, FALSE) / VLOOKUP("transport|SO2|Premature mortality", US_national_yearly!$D:$AM, 10, FALSE), 1)</f>
        <v>1.3143113878095566E-2</v>
      </c>
      <c r="W2" s="7">
        <f>$B2 * IFERROR(VLOOKUP("transport|SO2|Premature mortality", US_national_yearly!$D:$AM, 31, FALSE) / VLOOKUP("transport|SO2|Premature mortality", US_national_yearly!$D:$AM, 10, FALSE), 1)</f>
        <v>1.3212943492309752E-2</v>
      </c>
      <c r="X2" s="7">
        <f>$B2 * IFERROR(VLOOKUP("transport|SO2|Premature mortality", US_national_yearly!$D:$AM, 32, FALSE) / VLOOKUP("transport|SO2|Premature mortality", US_national_yearly!$D:$AM, 10, FALSE), 1)</f>
        <v>1.3227129592030089E-2</v>
      </c>
      <c r="Y2" s="7">
        <f>$B2 * IFERROR(VLOOKUP("transport|SO2|Premature mortality", US_national_yearly!$D:$AM, 33, FALSE) / VLOOKUP("transport|SO2|Premature mortality", US_national_yearly!$D:$AM, 10, FALSE), 1)</f>
        <v>1.3241315691750428E-2</v>
      </c>
      <c r="Z2" s="7">
        <f>$B2 * IFERROR(VLOOKUP("transport|SO2|Premature mortality", US_national_yearly!$D:$AM, 34, FALSE) / VLOOKUP("transport|SO2|Premature mortality", US_national_yearly!$D:$AM, 10, FALSE), 1)</f>
        <v>1.3255501791470769E-2</v>
      </c>
      <c r="AA2" s="7">
        <f>$B2 * IFERROR(VLOOKUP("transport|SO2|Premature mortality", US_national_yearly!$D:$AM, 35, FALSE) / VLOOKUP("transport|SO2|Premature mortality", US_national_yearly!$D:$AM, 10, FALSE), 1)</f>
        <v>1.3269687891191108E-2</v>
      </c>
      <c r="AB2" s="7">
        <f>$B2 * IFERROR(VLOOKUP("transport|SO2|Premature mortality", US_national_yearly!$D:$AM, 36, FALSE) / VLOOKUP("transport|SO2|Premature mortality", US_national_yearly!$D:$AM, 10, FALSE), 1)</f>
        <v>1.3283873990911447E-2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2.8018484654328963E-5</v>
      </c>
      <c r="C3" s="7">
        <f>$B3 * IFERROR(VLOOKUP("transport|SO2|Infant mortality", US_national_yearly!$D:$AM, 11, FALSE) / VLOOKUP("transport|SO2|Infant mortality", US_national_yearly!$D:$AM, 10, FALSE), 1)</f>
        <v>2.7777800760420586E-5</v>
      </c>
      <c r="D3" s="7">
        <f>$B3 * IFERROR(VLOOKUP("transport|SO2|Infant mortality", US_national_yearly!$D:$AM, 12, FALSE) / VLOOKUP("transport|SO2|Infant mortality", US_national_yearly!$D:$AM, 10, FALSE), 1)</f>
        <v>2.7537116866512213E-5</v>
      </c>
      <c r="E3" s="7">
        <f>$B3 * IFERROR(VLOOKUP("transport|SO2|Infant mortality", US_national_yearly!$D:$AM, 13, FALSE) / VLOOKUP("transport|SO2|Infant mortality", US_national_yearly!$D:$AM, 10, FALSE), 1)</f>
        <v>2.7296432972603833E-5</v>
      </c>
      <c r="F3" s="7">
        <f>$B3 * IFERROR(VLOOKUP("transport|SO2|Infant mortality", US_national_yearly!$D:$AM, 14, FALSE) / VLOOKUP("transport|SO2|Infant mortality", US_national_yearly!$D:$AM, 10, FALSE), 1)</f>
        <v>2.7055749078695459E-5</v>
      </c>
      <c r="G3" s="7">
        <f>$B3 * IFERROR(VLOOKUP("transport|SO2|Infant mortality", US_national_yearly!$D:$AM, 15, FALSE) / VLOOKUP("transport|SO2|Infant mortality", US_national_yearly!$D:$AM, 10, FALSE), 1)</f>
        <v>1.8021307999208751E-5</v>
      </c>
      <c r="H3" s="7">
        <f>$B3 * IFERROR(VLOOKUP("transport|SO2|Infant mortality", US_national_yearly!$D:$AM, 16, FALSE) / VLOOKUP("transport|SO2|Infant mortality", US_national_yearly!$D:$AM, 10, FALSE), 1)</f>
        <v>8.9868669197220577E-6</v>
      </c>
      <c r="I3" s="7">
        <f>$B3 * IFERROR(VLOOKUP("transport|SO2|Infant mortality", US_national_yearly!$D:$AM, 17, FALSE) / VLOOKUP("transport|SO2|Infant mortality", US_national_yearly!$D:$AM, 10, FALSE), 1)</f>
        <v>8.9304895897338318E-6</v>
      </c>
      <c r="J3" s="7">
        <f>$B3 * IFERROR(VLOOKUP("transport|SO2|Infant mortality", US_national_yearly!$D:$AM, 18, FALSE) / VLOOKUP("transport|SO2|Infant mortality", US_national_yearly!$D:$AM, 10, FALSE), 1)</f>
        <v>8.8741122597456058E-6</v>
      </c>
      <c r="K3" s="7">
        <f>$B3 * IFERROR(VLOOKUP("transport|SO2|Infant mortality", US_national_yearly!$D:$AM, 19, FALSE) / VLOOKUP("transport|SO2|Infant mortality", US_national_yearly!$D:$AM, 10, FALSE), 1)</f>
        <v>8.8177349297573782E-6</v>
      </c>
      <c r="L3" s="7">
        <f>$B3 * IFERROR(VLOOKUP("transport|SO2|Infant mortality", US_national_yearly!$D:$AM, 20, FALSE) / VLOOKUP("transport|SO2|Infant mortality", US_national_yearly!$D:$AM, 10, FALSE), 1)</f>
        <v>8.7613575997691539E-6</v>
      </c>
      <c r="M3" s="7">
        <f>$B3 * IFERROR(VLOOKUP("transport|SO2|Infant mortality", US_national_yearly!$D:$AM, 21, FALSE) / VLOOKUP("transport|SO2|Infant mortality", US_national_yearly!$D:$AM, 10, FALSE), 1)</f>
        <v>8.7049802697809279E-6</v>
      </c>
      <c r="N3" s="7">
        <f>$B3 * IFERROR(VLOOKUP("transport|SO2|Infant mortality", US_national_yearly!$D:$AM, 22, FALSE) / VLOOKUP("transport|SO2|Infant mortality", US_national_yearly!$D:$AM, 10, FALSE), 1)</f>
        <v>8.6695926418253454E-6</v>
      </c>
      <c r="O3" s="7">
        <f>$B3 * IFERROR(VLOOKUP("transport|SO2|Infant mortality", US_national_yearly!$D:$AM, 23, FALSE) / VLOOKUP("transport|SO2|Infant mortality", US_national_yearly!$D:$AM, 10, FALSE), 1)</f>
        <v>8.6342050138697628E-6</v>
      </c>
      <c r="P3" s="7">
        <f>$B3 * IFERROR(VLOOKUP("transport|SO2|Infant mortality", US_national_yearly!$D:$AM, 24, FALSE) / VLOOKUP("transport|SO2|Infant mortality", US_national_yearly!$D:$AM, 10, FALSE), 1)</f>
        <v>8.5988173859141785E-6</v>
      </c>
      <c r="Q3" s="7">
        <f>$B3 * IFERROR(VLOOKUP("transport|SO2|Infant mortality", US_national_yearly!$D:$AM, 25, FALSE) / VLOOKUP("transport|SO2|Infant mortality", US_national_yearly!$D:$AM, 10, FALSE), 1)</f>
        <v>8.563429757958596E-6</v>
      </c>
      <c r="R3" s="7">
        <f>$B3 * IFERROR(VLOOKUP("transport|SO2|Infant mortality", US_national_yearly!$D:$AM, 26, FALSE) / VLOOKUP("transport|SO2|Infant mortality", US_national_yearly!$D:$AM, 10, FALSE), 1)</f>
        <v>8.5280421300030117E-6</v>
      </c>
      <c r="S3" s="7">
        <f>$B3 * IFERROR(VLOOKUP("transport|SO2|Infant mortality", US_national_yearly!$D:$AM, 27, FALSE) / VLOOKUP("transport|SO2|Infant mortality", US_national_yearly!$D:$AM, 10, FALSE), 1)</f>
        <v>8.4836108072443337E-6</v>
      </c>
      <c r="T3" s="7">
        <f>$B3 * IFERROR(VLOOKUP("transport|SO2|Infant mortality", US_national_yearly!$D:$AM, 28, FALSE) / VLOOKUP("transport|SO2|Infant mortality", US_national_yearly!$D:$AM, 10, FALSE), 1)</f>
        <v>8.4391794844856575E-6</v>
      </c>
      <c r="U3" s="7">
        <f>$B3 * IFERROR(VLOOKUP("transport|SO2|Infant mortality", US_national_yearly!$D:$AM, 29, FALSE) / VLOOKUP("transport|SO2|Infant mortality", US_national_yearly!$D:$AM, 10, FALSE), 1)</f>
        <v>8.3947481617269762E-6</v>
      </c>
      <c r="V3" s="7">
        <f>$B3 * IFERROR(VLOOKUP("transport|SO2|Infant mortality", US_national_yearly!$D:$AM, 30, FALSE) / VLOOKUP("transport|SO2|Infant mortality", US_national_yearly!$D:$AM, 10, FALSE), 1)</f>
        <v>8.3503168389683016E-6</v>
      </c>
      <c r="W3" s="7">
        <f>$B3 * IFERROR(VLOOKUP("transport|SO2|Infant mortality", US_national_yearly!$D:$AM, 31, FALSE) / VLOOKUP("transport|SO2|Infant mortality", US_national_yearly!$D:$AM, 10, FALSE), 1)</f>
        <v>8.305885516209622E-6</v>
      </c>
      <c r="X3" s="7">
        <f>$B3 * IFERROR(VLOOKUP("transport|SO2|Infant mortality", US_national_yearly!$D:$AM, 32, FALSE) / VLOOKUP("transport|SO2|Infant mortality", US_national_yearly!$D:$AM, 10, FALSE), 1)</f>
        <v>8.2573083657259397E-6</v>
      </c>
      <c r="Y3" s="7">
        <f>$B3 * IFERROR(VLOOKUP("transport|SO2|Infant mortality", US_national_yearly!$D:$AM, 33, FALSE) / VLOOKUP("transport|SO2|Infant mortality", US_national_yearly!$D:$AM, 10, FALSE), 1)</f>
        <v>8.2087312152422524E-6</v>
      </c>
      <c r="Z3" s="7">
        <f>$B3 * IFERROR(VLOOKUP("transport|SO2|Infant mortality", US_national_yearly!$D:$AM, 34, FALSE) / VLOOKUP("transport|SO2|Infant mortality", US_national_yearly!$D:$AM, 10, FALSE), 1)</f>
        <v>8.1601540647585701E-6</v>
      </c>
      <c r="AA3" s="7">
        <f>$B3 * IFERROR(VLOOKUP("transport|SO2|Infant mortality", US_national_yearly!$D:$AM, 35, FALSE) / VLOOKUP("transport|SO2|Infant mortality", US_national_yearly!$D:$AM, 10, FALSE), 1)</f>
        <v>8.1115769142748845E-6</v>
      </c>
      <c r="AB3" s="7">
        <f>$B3 * IFERROR(VLOOKUP("transport|SO2|Infant mortality", US_national_yearly!$D:$AM, 36, FALSE) / VLOOKUP("transport|SO2|Infant mortality", US_national_yearly!$D:$AM, 10, FALSE), 1)</f>
        <v>8.0629997637912023E-6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2.2962123105962417E-2</v>
      </c>
      <c r="C6" s="7">
        <f>$B6 * IFERROR(VLOOKUP("transport|SO2|Asthma symptoms cough", US_national_yearly!$D:$AM, 11, FALSE) / VLOOKUP("transport|SO2|Asthma symptoms cough", US_national_yearly!$D:$AM, 10, FALSE), 1)</f>
        <v>2.2962123105962417E-2</v>
      </c>
      <c r="D6" s="7">
        <f>$B6 * IFERROR(VLOOKUP("transport|SO2|Asthma symptoms cough", US_national_yearly!$D:$AM, 12, FALSE) / VLOOKUP("transport|SO2|Asthma symptoms cough", US_national_yearly!$D:$AM, 10, FALSE), 1)</f>
        <v>2.2962123105962417E-2</v>
      </c>
      <c r="E6" s="7">
        <f>$B6 * IFERROR(VLOOKUP("transport|SO2|Asthma symptoms cough", US_national_yearly!$D:$AM, 13, FALSE) / VLOOKUP("transport|SO2|Asthma symptoms cough", US_national_yearly!$D:$AM, 10, FALSE), 1)</f>
        <v>2.2962123105962417E-2</v>
      </c>
      <c r="F6" s="7">
        <f>$B6 * IFERROR(VLOOKUP("transport|SO2|Asthma symptoms cough", US_national_yearly!$D:$AM, 14, FALSE) / VLOOKUP("transport|SO2|Asthma symptoms cough", US_national_yearly!$D:$AM, 10, FALSE), 1)</f>
        <v>2.2962123105962417E-2</v>
      </c>
      <c r="G6" s="7">
        <f>$B6 * IFERROR(VLOOKUP("transport|SO2|Asthma symptoms cough", US_national_yearly!$D:$AM, 15, FALSE) / VLOOKUP("transport|SO2|Asthma symptoms cough", US_national_yearly!$D:$AM, 10, FALSE), 1)</f>
        <v>2.2962123105962417E-2</v>
      </c>
      <c r="H6" s="7">
        <f>$B6 * IFERROR(VLOOKUP("transport|SO2|Asthma symptoms cough", US_national_yearly!$D:$AM, 16, FALSE) / VLOOKUP("transport|SO2|Asthma symptoms cough", US_national_yearly!$D:$AM, 10, FALSE), 1)</f>
        <v>2.2962123105962417E-2</v>
      </c>
      <c r="I6" s="7">
        <f>$B6 * IFERROR(VLOOKUP("transport|SO2|Asthma symptoms cough", US_national_yearly!$D:$AM, 17, FALSE) / VLOOKUP("transport|SO2|Asthma symptoms cough", US_national_yearly!$D:$AM, 10, FALSE), 1)</f>
        <v>2.2962123105962417E-2</v>
      </c>
      <c r="J6" s="7">
        <f>$B6 * IFERROR(VLOOKUP("transport|SO2|Asthma symptoms cough", US_national_yearly!$D:$AM, 18, FALSE) / VLOOKUP("transport|SO2|Asthma symptoms cough", US_national_yearly!$D:$AM, 10, FALSE), 1)</f>
        <v>2.2962123105962417E-2</v>
      </c>
      <c r="K6" s="7">
        <f>$B6 * IFERROR(VLOOKUP("transport|SO2|Asthma symptoms cough", US_national_yearly!$D:$AM, 19, FALSE) / VLOOKUP("transport|SO2|Asthma symptoms cough", US_national_yearly!$D:$AM, 10, FALSE), 1)</f>
        <v>2.2962123105962417E-2</v>
      </c>
      <c r="L6" s="7">
        <f>$B6 * IFERROR(VLOOKUP("transport|SO2|Asthma symptoms cough", US_national_yearly!$D:$AM, 20, FALSE) / VLOOKUP("transport|SO2|Asthma symptoms cough", US_national_yearly!$D:$AM, 10, FALSE), 1)</f>
        <v>2.2962123105962417E-2</v>
      </c>
      <c r="M6" s="7">
        <f>$B6 * IFERROR(VLOOKUP("transport|SO2|Asthma symptoms cough", US_national_yearly!$D:$AM, 21, FALSE) / VLOOKUP("transport|SO2|Asthma symptoms cough", US_national_yearly!$D:$AM, 10, FALSE), 1)</f>
        <v>2.2962123105962417E-2</v>
      </c>
      <c r="N6" s="7">
        <f>$B6 * IFERROR(VLOOKUP("transport|SO2|Asthma symptoms cough", US_national_yearly!$D:$AM, 22, FALSE) / VLOOKUP("transport|SO2|Asthma symptoms cough", US_national_yearly!$D:$AM, 10, FALSE), 1)</f>
        <v>2.2962123105962417E-2</v>
      </c>
      <c r="O6" s="7">
        <f>$B6 * IFERROR(VLOOKUP("transport|SO2|Asthma symptoms cough", US_national_yearly!$D:$AM, 23, FALSE) / VLOOKUP("transport|SO2|Asthma symptoms cough", US_national_yearly!$D:$AM, 10, FALSE), 1)</f>
        <v>2.2962123105962417E-2</v>
      </c>
      <c r="P6" s="7">
        <f>$B6 * IFERROR(VLOOKUP("transport|SO2|Asthma symptoms cough", US_national_yearly!$D:$AM, 24, FALSE) / VLOOKUP("transport|SO2|Asthma symptoms cough", US_national_yearly!$D:$AM, 10, FALSE), 1)</f>
        <v>2.2962123105962417E-2</v>
      </c>
      <c r="Q6" s="7">
        <f>$B6 * IFERROR(VLOOKUP("transport|SO2|Asthma symptoms cough", US_national_yearly!$D:$AM, 25, FALSE) / VLOOKUP("transport|SO2|Asthma symptoms cough", US_national_yearly!$D:$AM, 10, FALSE), 1)</f>
        <v>2.2962123105962417E-2</v>
      </c>
      <c r="R6" s="7">
        <f>$B6 * IFERROR(VLOOKUP("transport|SO2|Asthma symptoms cough", US_national_yearly!$D:$AM, 26, FALSE) / VLOOKUP("transport|SO2|Asthma symptoms cough", US_national_yearly!$D:$AM, 10, FALSE), 1)</f>
        <v>2.2962123105962417E-2</v>
      </c>
      <c r="S6" s="7">
        <f>$B6 * IFERROR(VLOOKUP("transport|SO2|Asthma symptoms cough", US_national_yearly!$D:$AM, 27, FALSE) / VLOOKUP("transport|SO2|Asthma symptoms cough", US_national_yearly!$D:$AM, 10, FALSE), 1)</f>
        <v>2.2962123105962417E-2</v>
      </c>
      <c r="T6" s="7">
        <f>$B6 * IFERROR(VLOOKUP("transport|SO2|Asthma symptoms cough", US_national_yearly!$D:$AM, 28, FALSE) / VLOOKUP("transport|SO2|Asthma symptoms cough", US_national_yearly!$D:$AM, 10, FALSE), 1)</f>
        <v>2.2962123105962417E-2</v>
      </c>
      <c r="U6" s="7">
        <f>$B6 * IFERROR(VLOOKUP("transport|SO2|Asthma symptoms cough", US_national_yearly!$D:$AM, 29, FALSE) / VLOOKUP("transport|SO2|Asthma symptoms cough", US_national_yearly!$D:$AM, 10, FALSE), 1)</f>
        <v>2.2962123105962417E-2</v>
      </c>
      <c r="V6" s="7">
        <f>$B6 * IFERROR(VLOOKUP("transport|SO2|Asthma symptoms cough", US_national_yearly!$D:$AM, 30, FALSE) / VLOOKUP("transport|SO2|Asthma symptoms cough", US_national_yearly!$D:$AM, 10, FALSE), 1)</f>
        <v>2.2962123105962417E-2</v>
      </c>
      <c r="W6" s="7">
        <f>$B6 * IFERROR(VLOOKUP("transport|SO2|Asthma symptoms cough", US_national_yearly!$D:$AM, 31, FALSE) / VLOOKUP("transport|SO2|Asthma symptoms cough", US_national_yearly!$D:$AM, 10, FALSE), 1)</f>
        <v>2.2962123105962417E-2</v>
      </c>
      <c r="X6" s="7">
        <f>$B6 * IFERROR(VLOOKUP("transport|SO2|Asthma symptoms cough", US_national_yearly!$D:$AM, 32, FALSE) / VLOOKUP("transport|SO2|Asthma symptoms cough", US_national_yearly!$D:$AM, 10, FALSE), 1)</f>
        <v>2.2962123105962417E-2</v>
      </c>
      <c r="Y6" s="7">
        <f>$B6 * IFERROR(VLOOKUP("transport|SO2|Asthma symptoms cough", US_national_yearly!$D:$AM, 33, FALSE) / VLOOKUP("transport|SO2|Asthma symptoms cough", US_national_yearly!$D:$AM, 10, FALSE), 1)</f>
        <v>2.2962123105962417E-2</v>
      </c>
      <c r="Z6" s="7">
        <f>$B6 * IFERROR(VLOOKUP("transport|SO2|Asthma symptoms cough", US_national_yearly!$D:$AM, 34, FALSE) / VLOOKUP("transport|SO2|Asthma symptoms cough", US_national_yearly!$D:$AM, 10, FALSE), 1)</f>
        <v>2.2962123105962417E-2</v>
      </c>
      <c r="AA6" s="7">
        <f>$B6 * IFERROR(VLOOKUP("transport|SO2|Asthma symptoms cough", US_national_yearly!$D:$AM, 35, FALSE) / VLOOKUP("transport|SO2|Asthma symptoms cough", US_national_yearly!$D:$AM, 10, FALSE), 1)</f>
        <v>2.2962123105962417E-2</v>
      </c>
      <c r="AB6" s="7">
        <f>$B6 * IFERROR(VLOOKUP("transport|SO2|Asthma symptoms cough", US_national_yearly!$D:$AM, 36, FALSE) / VLOOKUP("transport|SO2|Asthma symptoms cough", US_national_yearly!$D:$AM, 10, FALSE), 1)</f>
        <v>2.2962123105962417E-2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3.092177341088569E-2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3.092177341088569E-2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3.092177341088569E-2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3.092177341088569E-2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3.092177341088569E-2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3.092177341088569E-2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3.092177341088569E-2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3.092177341088569E-2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3.092177341088569E-2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3.092177341088569E-2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3.092177341088569E-2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3.092177341088569E-2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3.092177341088569E-2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3.092177341088569E-2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3.092177341088569E-2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3.092177341088569E-2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3.092177341088569E-2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3.092177341088569E-2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3.092177341088569E-2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3.092177341088569E-2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3.092177341088569E-2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3.092177341088569E-2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3.092177341088569E-2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3.092177341088569E-2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3.092177341088569E-2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3.092177341088569E-2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3.092177341088569E-2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4.7243433501887998E-2</v>
      </c>
      <c r="C8" s="7">
        <f>$B8 * IFERROR(VLOOKUP("transport|SO2|Asthma symptoms wheeze", US_national_yearly!$D:$AM, 11, FALSE) / VLOOKUP("transport|SO2|Asthma symptoms wheeze", US_national_yearly!$D:$AM, 10, FALSE), 1)</f>
        <v>4.7243433501887998E-2</v>
      </c>
      <c r="D8" s="7">
        <f>$B8 * IFERROR(VLOOKUP("transport|SO2|Asthma symptoms wheeze", US_national_yearly!$D:$AM, 12, FALSE) / VLOOKUP("transport|SO2|Asthma symptoms wheeze", US_national_yearly!$D:$AM, 10, FALSE), 1)</f>
        <v>4.7243433501887998E-2</v>
      </c>
      <c r="E8" s="7">
        <f>$B8 * IFERROR(VLOOKUP("transport|SO2|Asthma symptoms wheeze", US_national_yearly!$D:$AM, 13, FALSE) / VLOOKUP("transport|SO2|Asthma symptoms wheeze", US_national_yearly!$D:$AM, 10, FALSE), 1)</f>
        <v>4.7243433501887998E-2</v>
      </c>
      <c r="F8" s="7">
        <f>$B8 * IFERROR(VLOOKUP("transport|SO2|Asthma symptoms wheeze", US_national_yearly!$D:$AM, 14, FALSE) / VLOOKUP("transport|SO2|Asthma symptoms wheeze", US_national_yearly!$D:$AM, 10, FALSE), 1)</f>
        <v>4.7243433501887998E-2</v>
      </c>
      <c r="G8" s="7">
        <f>$B8 * IFERROR(VLOOKUP("transport|SO2|Asthma symptoms wheeze", US_national_yearly!$D:$AM, 15, FALSE) / VLOOKUP("transport|SO2|Asthma symptoms wheeze", US_national_yearly!$D:$AM, 10, FALSE), 1)</f>
        <v>4.7243433501887998E-2</v>
      </c>
      <c r="H8" s="7">
        <f>$B8 * IFERROR(VLOOKUP("transport|SO2|Asthma symptoms wheeze", US_national_yearly!$D:$AM, 16, FALSE) / VLOOKUP("transport|SO2|Asthma symptoms wheeze", US_national_yearly!$D:$AM, 10, FALSE), 1)</f>
        <v>4.7243433501887998E-2</v>
      </c>
      <c r="I8" s="7">
        <f>$B8 * IFERROR(VLOOKUP("transport|SO2|Asthma symptoms wheeze", US_national_yearly!$D:$AM, 17, FALSE) / VLOOKUP("transport|SO2|Asthma symptoms wheeze", US_national_yearly!$D:$AM, 10, FALSE), 1)</f>
        <v>4.7243433501887998E-2</v>
      </c>
      <c r="J8" s="7">
        <f>$B8 * IFERROR(VLOOKUP("transport|SO2|Asthma symptoms wheeze", US_national_yearly!$D:$AM, 18, FALSE) / VLOOKUP("transport|SO2|Asthma symptoms wheeze", US_national_yearly!$D:$AM, 10, FALSE), 1)</f>
        <v>4.7243433501887998E-2</v>
      </c>
      <c r="K8" s="7">
        <f>$B8 * IFERROR(VLOOKUP("transport|SO2|Asthma symptoms wheeze", US_national_yearly!$D:$AM, 19, FALSE) / VLOOKUP("transport|SO2|Asthma symptoms wheeze", US_national_yearly!$D:$AM, 10, FALSE), 1)</f>
        <v>4.7243433501887998E-2</v>
      </c>
      <c r="L8" s="7">
        <f>$B8 * IFERROR(VLOOKUP("transport|SO2|Asthma symptoms wheeze", US_national_yearly!$D:$AM, 20, FALSE) / VLOOKUP("transport|SO2|Asthma symptoms wheeze", US_national_yearly!$D:$AM, 10, FALSE), 1)</f>
        <v>4.7243433501887998E-2</v>
      </c>
      <c r="M8" s="7">
        <f>$B8 * IFERROR(VLOOKUP("transport|SO2|Asthma symptoms wheeze", US_national_yearly!$D:$AM, 21, FALSE) / VLOOKUP("transport|SO2|Asthma symptoms wheeze", US_national_yearly!$D:$AM, 10, FALSE), 1)</f>
        <v>4.7243433501887998E-2</v>
      </c>
      <c r="N8" s="7">
        <f>$B8 * IFERROR(VLOOKUP("transport|SO2|Asthma symptoms wheeze", US_national_yearly!$D:$AM, 22, FALSE) / VLOOKUP("transport|SO2|Asthma symptoms wheeze", US_national_yearly!$D:$AM, 10, FALSE), 1)</f>
        <v>4.7243433501887998E-2</v>
      </c>
      <c r="O8" s="7">
        <f>$B8 * IFERROR(VLOOKUP("transport|SO2|Asthma symptoms wheeze", US_national_yearly!$D:$AM, 23, FALSE) / VLOOKUP("transport|SO2|Asthma symptoms wheeze", US_national_yearly!$D:$AM, 10, FALSE), 1)</f>
        <v>4.7243433501887998E-2</v>
      </c>
      <c r="P8" s="7">
        <f>$B8 * IFERROR(VLOOKUP("transport|SO2|Asthma symptoms wheeze", US_national_yearly!$D:$AM, 24, FALSE) / VLOOKUP("transport|SO2|Asthma symptoms wheeze", US_national_yearly!$D:$AM, 10, FALSE), 1)</f>
        <v>4.7243433501887998E-2</v>
      </c>
      <c r="Q8" s="7">
        <f>$B8 * IFERROR(VLOOKUP("transport|SO2|Asthma symptoms wheeze", US_national_yearly!$D:$AM, 25, FALSE) / VLOOKUP("transport|SO2|Asthma symptoms wheeze", US_national_yearly!$D:$AM, 10, FALSE), 1)</f>
        <v>4.7243433501887998E-2</v>
      </c>
      <c r="R8" s="7">
        <f>$B8 * IFERROR(VLOOKUP("transport|SO2|Asthma symptoms wheeze", US_national_yearly!$D:$AM, 26, FALSE) / VLOOKUP("transport|SO2|Asthma symptoms wheeze", US_national_yearly!$D:$AM, 10, FALSE), 1)</f>
        <v>4.7243433501887998E-2</v>
      </c>
      <c r="S8" s="7">
        <f>$B8 * IFERROR(VLOOKUP("transport|SO2|Asthma symptoms wheeze", US_national_yearly!$D:$AM, 27, FALSE) / VLOOKUP("transport|SO2|Asthma symptoms wheeze", US_national_yearly!$D:$AM, 10, FALSE), 1)</f>
        <v>4.7243433501887998E-2</v>
      </c>
      <c r="T8" s="7">
        <f>$B8 * IFERROR(VLOOKUP("transport|SO2|Asthma symptoms wheeze", US_national_yearly!$D:$AM, 28, FALSE) / VLOOKUP("transport|SO2|Asthma symptoms wheeze", US_national_yearly!$D:$AM, 10, FALSE), 1)</f>
        <v>4.7243433501887998E-2</v>
      </c>
      <c r="U8" s="7">
        <f>$B8 * IFERROR(VLOOKUP("transport|SO2|Asthma symptoms wheeze", US_national_yearly!$D:$AM, 29, FALSE) / VLOOKUP("transport|SO2|Asthma symptoms wheeze", US_national_yearly!$D:$AM, 10, FALSE), 1)</f>
        <v>4.7243433501887998E-2</v>
      </c>
      <c r="V8" s="7">
        <f>$B8 * IFERROR(VLOOKUP("transport|SO2|Asthma symptoms wheeze", US_national_yearly!$D:$AM, 30, FALSE) / VLOOKUP("transport|SO2|Asthma symptoms wheeze", US_national_yearly!$D:$AM, 10, FALSE), 1)</f>
        <v>4.7243433501887998E-2</v>
      </c>
      <c r="W8" s="7">
        <f>$B8 * IFERROR(VLOOKUP("transport|SO2|Asthma symptoms wheeze", US_national_yearly!$D:$AM, 31, FALSE) / VLOOKUP("transport|SO2|Asthma symptoms wheeze", US_national_yearly!$D:$AM, 10, FALSE), 1)</f>
        <v>4.7243433501887998E-2</v>
      </c>
      <c r="X8" s="7">
        <f>$B8 * IFERROR(VLOOKUP("transport|SO2|Asthma symptoms wheeze", US_national_yearly!$D:$AM, 32, FALSE) / VLOOKUP("transport|SO2|Asthma symptoms wheeze", US_national_yearly!$D:$AM, 10, FALSE), 1)</f>
        <v>4.7243433501887998E-2</v>
      </c>
      <c r="Y8" s="7">
        <f>$B8 * IFERROR(VLOOKUP("transport|SO2|Asthma symptoms wheeze", US_national_yearly!$D:$AM, 33, FALSE) / VLOOKUP("transport|SO2|Asthma symptoms wheeze", US_national_yearly!$D:$AM, 10, FALSE), 1)</f>
        <v>4.7243433501887998E-2</v>
      </c>
      <c r="Z8" s="7">
        <f>$B8 * IFERROR(VLOOKUP("transport|SO2|Asthma symptoms wheeze", US_national_yearly!$D:$AM, 34, FALSE) / VLOOKUP("transport|SO2|Asthma symptoms wheeze", US_national_yearly!$D:$AM, 10, FALSE), 1)</f>
        <v>4.7243433501887998E-2</v>
      </c>
      <c r="AA8" s="7">
        <f>$B8 * IFERROR(VLOOKUP("transport|SO2|Asthma symptoms wheeze", US_national_yearly!$D:$AM, 35, FALSE) / VLOOKUP("transport|SO2|Asthma symptoms wheeze", US_national_yearly!$D:$AM, 10, FALSE), 1)</f>
        <v>4.7243433501887998E-2</v>
      </c>
      <c r="AB8" s="7">
        <f>$B8 * IFERROR(VLOOKUP("transport|SO2|Asthma symptoms wheeze", US_national_yearly!$D:$AM, 36, FALSE) / VLOOKUP("transport|SO2|Asthma symptoms wheeze", US_national_yearly!$D:$AM, 10, FALSE), 1)</f>
        <v>4.7243433501887998E-2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5.8821447607886198E-4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5.9168379429003432E-4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5.9515311250120677E-4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5.9862243071237911E-4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6.0209174892355156E-4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6.0587389094708319E-4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6.0965603297061482E-4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6.1338567532326837E-4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6.1711531767592214E-4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6.2084496002857558E-4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6.2457460238122924E-4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6.2830424473388268E-4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6.3102676852249068E-4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6.3374929231109847E-4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6.3647181609970626E-4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6.3919433988831426E-4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6.4191686367692205E-4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6.4451394363682708E-4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6.4711102359673201E-4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6.4970810355663704E-4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6.5230518351654207E-4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6.5490226347644711E-4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6.5736646596853952E-4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6.5983066846063193E-4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6.6229487095272434E-4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6.6475907344481664E-4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6.6722327593690916E-4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3.4489531107089119E-3</v>
      </c>
      <c r="C13" s="7">
        <f>$B13 * IFERROR(VLOOKUP("transport|SO2|Non-fatal heart attacks", US_national_yearly!$D:$AM, 11, FALSE) / VLOOKUP("transport|SO2|Non-fatal heart attacks", US_national_yearly!$D:$AM, 10, FALSE), 1)</f>
        <v>3.5502018467547468E-3</v>
      </c>
      <c r="D13" s="7">
        <f>$B13 * IFERROR(VLOOKUP("transport|SO2|Non-fatal heart attacks", US_national_yearly!$D:$AM, 12, FALSE) / VLOOKUP("transport|SO2|Non-fatal heart attacks", US_national_yearly!$D:$AM, 10, FALSE), 1)</f>
        <v>3.6514505828005818E-3</v>
      </c>
      <c r="E13" s="7">
        <f>$B13 * IFERROR(VLOOKUP("transport|SO2|Non-fatal heart attacks", US_national_yearly!$D:$AM, 13, FALSE) / VLOOKUP("transport|SO2|Non-fatal heart attacks", US_national_yearly!$D:$AM, 10, FALSE), 1)</f>
        <v>3.7526993188464167E-3</v>
      </c>
      <c r="F13" s="7">
        <f>$B13 * IFERROR(VLOOKUP("transport|SO2|Non-fatal heart attacks", US_national_yearly!$D:$AM, 14, FALSE) / VLOOKUP("transport|SO2|Non-fatal heart attacks", US_national_yearly!$D:$AM, 10, FALSE), 1)</f>
        <v>3.8539480548922507E-3</v>
      </c>
      <c r="G13" s="7">
        <f>$B13 * IFERROR(VLOOKUP("transport|SO2|Non-fatal heart attacks", US_national_yearly!$D:$AM, 15, FALSE) / VLOOKUP("transport|SO2|Non-fatal heart attacks", US_national_yearly!$D:$AM, 10, FALSE), 1)</f>
        <v>3.9494350043774605E-3</v>
      </c>
      <c r="H13" s="7">
        <f>$B13 * IFERROR(VLOOKUP("transport|SO2|Non-fatal heart attacks", US_national_yearly!$D:$AM, 16, FALSE) / VLOOKUP("transport|SO2|Non-fatal heart attacks", US_national_yearly!$D:$AM, 10, FALSE), 1)</f>
        <v>4.0449219538626693E-3</v>
      </c>
      <c r="I13" s="7">
        <f>$B13 * IFERROR(VLOOKUP("transport|SO2|Non-fatal heart attacks", US_national_yearly!$D:$AM, 17, FALSE) / VLOOKUP("transport|SO2|Non-fatal heart attacks", US_national_yearly!$D:$AM, 10, FALSE), 1)</f>
        <v>4.121759014424008E-3</v>
      </c>
      <c r="J13" s="7">
        <f>$B13 * IFERROR(VLOOKUP("transport|SO2|Non-fatal heart attacks", US_national_yearly!$D:$AM, 18, FALSE) / VLOOKUP("transport|SO2|Non-fatal heart attacks", US_national_yearly!$D:$AM, 10, FALSE), 1)</f>
        <v>4.1985960749853467E-3</v>
      </c>
      <c r="K13" s="7">
        <f>$B13 * IFERROR(VLOOKUP("transport|SO2|Non-fatal heart attacks", US_national_yearly!$D:$AM, 19, FALSE) / VLOOKUP("transport|SO2|Non-fatal heart attacks", US_national_yearly!$D:$AM, 10, FALSE), 1)</f>
        <v>4.2754331355466845E-3</v>
      </c>
      <c r="L13" s="7">
        <f>$B13 * IFERROR(VLOOKUP("transport|SO2|Non-fatal heart attacks", US_national_yearly!$D:$AM, 20, FALSE) / VLOOKUP("transport|SO2|Non-fatal heart attacks", US_national_yearly!$D:$AM, 10, FALSE), 1)</f>
        <v>4.3522701961080249E-3</v>
      </c>
      <c r="M13" s="7">
        <f>$B13 * IFERROR(VLOOKUP("transport|SO2|Non-fatal heart attacks", US_national_yearly!$D:$AM, 21, FALSE) / VLOOKUP("transport|SO2|Non-fatal heart attacks", US_national_yearly!$D:$AM, 10, FALSE), 1)</f>
        <v>4.4291072566693636E-3</v>
      </c>
      <c r="N13" s="7">
        <f>$B13 * IFERROR(VLOOKUP("transport|SO2|Non-fatal heart attacks", US_national_yearly!$D:$AM, 22, FALSE) / VLOOKUP("transport|SO2|Non-fatal heart attacks", US_national_yearly!$D:$AM, 10, FALSE), 1)</f>
        <v>4.4789984884066958E-3</v>
      </c>
      <c r="O13" s="7">
        <f>$B13 * IFERROR(VLOOKUP("transport|SO2|Non-fatal heart attacks", US_national_yearly!$D:$AM, 23, FALSE) / VLOOKUP("transport|SO2|Non-fatal heart attacks", US_national_yearly!$D:$AM, 10, FALSE), 1)</f>
        <v>4.5288897201440298E-3</v>
      </c>
      <c r="P13" s="7">
        <f>$B13 * IFERROR(VLOOKUP("transport|SO2|Non-fatal heart attacks", US_national_yearly!$D:$AM, 24, FALSE) / VLOOKUP("transport|SO2|Non-fatal heart attacks", US_national_yearly!$D:$AM, 10, FALSE), 1)</f>
        <v>4.578780951881363E-3</v>
      </c>
      <c r="Q13" s="7">
        <f>$B13 * IFERROR(VLOOKUP("transport|SO2|Non-fatal heart attacks", US_national_yearly!$D:$AM, 25, FALSE) / VLOOKUP("transport|SO2|Non-fatal heart attacks", US_national_yearly!$D:$AM, 10, FALSE), 1)</f>
        <v>4.6286721836186961E-3</v>
      </c>
      <c r="R13" s="7">
        <f>$B13 * IFERROR(VLOOKUP("transport|SO2|Non-fatal heart attacks", US_national_yearly!$D:$AM, 26, FALSE) / VLOOKUP("transport|SO2|Non-fatal heart attacks", US_national_yearly!$D:$AM, 10, FALSE), 1)</f>
        <v>4.6785634153560293E-3</v>
      </c>
      <c r="S13" s="7">
        <f>$B13 * IFERROR(VLOOKUP("transport|SO2|Non-fatal heart attacks", US_national_yearly!$D:$AM, 27, FALSE) / VLOOKUP("transport|SO2|Non-fatal heart attacks", US_national_yearly!$D:$AM, 10, FALSE), 1)</f>
        <v>4.7046113468184369E-3</v>
      </c>
      <c r="T13" s="7">
        <f>$B13 * IFERROR(VLOOKUP("transport|SO2|Non-fatal heart attacks", US_national_yearly!$D:$AM, 28, FALSE) / VLOOKUP("transport|SO2|Non-fatal heart attacks", US_national_yearly!$D:$AM, 10, FALSE), 1)</f>
        <v>4.7306592782808453E-3</v>
      </c>
      <c r="U13" s="7">
        <f>$B13 * IFERROR(VLOOKUP("transport|SO2|Non-fatal heart attacks", US_national_yearly!$D:$AM, 29, FALSE) / VLOOKUP("transport|SO2|Non-fatal heart attacks", US_national_yearly!$D:$AM, 10, FALSE), 1)</f>
        <v>4.7567072097432529E-3</v>
      </c>
      <c r="V13" s="7">
        <f>$B13 * IFERROR(VLOOKUP("transport|SO2|Non-fatal heart attacks", US_national_yearly!$D:$AM, 30, FALSE) / VLOOKUP("transport|SO2|Non-fatal heart attacks", US_national_yearly!$D:$AM, 10, FALSE), 1)</f>
        <v>4.7827551412056597E-3</v>
      </c>
      <c r="W13" s="7">
        <f>$B13 * IFERROR(VLOOKUP("transport|SO2|Non-fatal heart attacks", US_national_yearly!$D:$AM, 31, FALSE) / VLOOKUP("transport|SO2|Non-fatal heart attacks", US_national_yearly!$D:$AM, 10, FALSE), 1)</f>
        <v>4.808803072668069E-3</v>
      </c>
      <c r="X13" s="7">
        <f>$B13 * IFERROR(VLOOKUP("transport|SO2|Non-fatal heart attacks", US_national_yearly!$D:$AM, 32, FALSE) / VLOOKUP("transport|SO2|Non-fatal heart attacks", US_national_yearly!$D:$AM, 10, FALSE), 1)</f>
        <v>4.8284669824093067E-3</v>
      </c>
      <c r="Y13" s="7">
        <f>$B13 * IFERROR(VLOOKUP("transport|SO2|Non-fatal heart attacks", US_national_yearly!$D:$AM, 33, FALSE) / VLOOKUP("transport|SO2|Non-fatal heart attacks", US_national_yearly!$D:$AM, 10, FALSE), 1)</f>
        <v>4.8481308921505435E-3</v>
      </c>
      <c r="Z13" s="7">
        <f>$B13 * IFERROR(VLOOKUP("transport|SO2|Non-fatal heart attacks", US_national_yearly!$D:$AM, 34, FALSE) / VLOOKUP("transport|SO2|Non-fatal heart attacks", US_national_yearly!$D:$AM, 10, FALSE), 1)</f>
        <v>4.8677948018917812E-3</v>
      </c>
      <c r="AA13" s="7">
        <f>$B13 * IFERROR(VLOOKUP("transport|SO2|Non-fatal heart attacks", US_national_yearly!$D:$AM, 35, FALSE) / VLOOKUP("transport|SO2|Non-fatal heart attacks", US_national_yearly!$D:$AM, 10, FALSE), 1)</f>
        <v>4.8874587116330189E-3</v>
      </c>
      <c r="AB13" s="7">
        <f>$B13 * IFERROR(VLOOKUP("transport|SO2|Non-fatal heart attacks", US_national_yearly!$D:$AM, 36, FALSE) / VLOOKUP("transport|SO2|Non-fatal heart attacks", US_national_yearly!$D:$AM, 10, FALSE), 1)</f>
        <v>4.9071226213742566E-3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2.7971110267247248</v>
      </c>
      <c r="C14" s="7">
        <f>$B14 * IFERROR(VLOOKUP("transport|SO2|Minor restricted activity days", US_national_yearly!$D:$AM, 11, FALSE) / VLOOKUP("transport|SO2|Minor restricted activity days", US_national_yearly!$D:$AM, 10, FALSE), 1)</f>
        <v>2.8041616116471788</v>
      </c>
      <c r="D14" s="7">
        <f>$B14 * IFERROR(VLOOKUP("transport|SO2|Minor restricted activity days", US_national_yearly!$D:$AM, 12, FALSE) / VLOOKUP("transport|SO2|Minor restricted activity days", US_national_yearly!$D:$AM, 10, FALSE), 1)</f>
        <v>2.8112121965696324</v>
      </c>
      <c r="E14" s="7">
        <f>$B14 * IFERROR(VLOOKUP("transport|SO2|Minor restricted activity days", US_national_yearly!$D:$AM, 13, FALSE) / VLOOKUP("transport|SO2|Minor restricted activity days", US_national_yearly!$D:$AM, 10, FALSE), 1)</f>
        <v>2.8182627814920864</v>
      </c>
      <c r="F14" s="7">
        <f>$B14 * IFERROR(VLOOKUP("transport|SO2|Minor restricted activity days", US_national_yearly!$D:$AM, 14, FALSE) / VLOOKUP("transport|SO2|Minor restricted activity days", US_national_yearly!$D:$AM, 10, FALSE), 1)</f>
        <v>2.8253133664145396</v>
      </c>
      <c r="G14" s="7">
        <f>$B14 * IFERROR(VLOOKUP("transport|SO2|Minor restricted activity days", US_national_yearly!$D:$AM, 15, FALSE) / VLOOKUP("transport|SO2|Minor restricted activity days", US_national_yearly!$D:$AM, 10, FALSE), 1)</f>
        <v>2.8356911347670612</v>
      </c>
      <c r="H14" s="7">
        <f>$B14 * IFERROR(VLOOKUP("transport|SO2|Minor restricted activity days", US_national_yearly!$D:$AM, 16, FALSE) / VLOOKUP("transport|SO2|Minor restricted activity days", US_national_yearly!$D:$AM, 10, FALSE), 1)</f>
        <v>2.8460689031195825</v>
      </c>
      <c r="I14" s="7">
        <f>$B14 * IFERROR(VLOOKUP("transport|SO2|Minor restricted activity days", US_national_yearly!$D:$AM, 17, FALSE) / VLOOKUP("transport|SO2|Minor restricted activity days", US_national_yearly!$D:$AM, 10, FALSE), 1)</f>
        <v>2.8637672197234627</v>
      </c>
      <c r="J14" s="7">
        <f>$B14 * IFERROR(VLOOKUP("transport|SO2|Minor restricted activity days", US_national_yearly!$D:$AM, 18, FALSE) / VLOOKUP("transport|SO2|Minor restricted activity days", US_national_yearly!$D:$AM, 10, FALSE), 1)</f>
        <v>2.8814655363273429</v>
      </c>
      <c r="K14" s="7">
        <f>$B14 * IFERROR(VLOOKUP("transport|SO2|Minor restricted activity days", US_national_yearly!$D:$AM, 19, FALSE) / VLOOKUP("transport|SO2|Minor restricted activity days", US_national_yearly!$D:$AM, 10, FALSE), 1)</f>
        <v>2.8991638529312236</v>
      </c>
      <c r="L14" s="7">
        <f>$B14 * IFERROR(VLOOKUP("transport|SO2|Minor restricted activity days", US_national_yearly!$D:$AM, 20, FALSE) / VLOOKUP("transport|SO2|Minor restricted activity days", US_national_yearly!$D:$AM, 10, FALSE), 1)</f>
        <v>2.9168621695351038</v>
      </c>
      <c r="M14" s="7">
        <f>$B14 * IFERROR(VLOOKUP("transport|SO2|Minor restricted activity days", US_national_yearly!$D:$AM, 21, FALSE) / VLOOKUP("transport|SO2|Minor restricted activity days", US_national_yearly!$D:$AM, 10, FALSE), 1)</f>
        <v>2.934560486138984</v>
      </c>
      <c r="N14" s="7">
        <f>$B14 * IFERROR(VLOOKUP("transport|SO2|Minor restricted activity days", US_national_yearly!$D:$AM, 22, FALSE) / VLOOKUP("transport|SO2|Minor restricted activity days", US_national_yearly!$D:$AM, 10, FALSE), 1)</f>
        <v>2.9587689433992903</v>
      </c>
      <c r="O14" s="7">
        <f>$B14 * IFERROR(VLOOKUP("transport|SO2|Minor restricted activity days", US_national_yearly!$D:$AM, 23, FALSE) / VLOOKUP("transport|SO2|Minor restricted activity days", US_national_yearly!$D:$AM, 10, FALSE), 1)</f>
        <v>2.982977400659597</v>
      </c>
      <c r="P14" s="7">
        <f>$B14 * IFERROR(VLOOKUP("transport|SO2|Minor restricted activity days", US_national_yearly!$D:$AM, 24, FALSE) / VLOOKUP("transport|SO2|Minor restricted activity days", US_national_yearly!$D:$AM, 10, FALSE), 1)</f>
        <v>3.0071858579199033</v>
      </c>
      <c r="Q14" s="7">
        <f>$B14 * IFERROR(VLOOKUP("transport|SO2|Minor restricted activity days", US_national_yearly!$D:$AM, 25, FALSE) / VLOOKUP("transport|SO2|Minor restricted activity days", US_national_yearly!$D:$AM, 10, FALSE), 1)</f>
        <v>3.0313943151802101</v>
      </c>
      <c r="R14" s="7">
        <f>$B14 * IFERROR(VLOOKUP("transport|SO2|Minor restricted activity days", US_national_yearly!$D:$AM, 26, FALSE) / VLOOKUP("transport|SO2|Minor restricted activity days", US_national_yearly!$D:$AM, 10, FALSE), 1)</f>
        <v>3.0556027724405164</v>
      </c>
      <c r="S14" s="7">
        <f>$B14 * IFERROR(VLOOKUP("transport|SO2|Minor restricted activity days", US_national_yearly!$D:$AM, 27, FALSE) / VLOOKUP("transport|SO2|Minor restricted activity days", US_national_yearly!$D:$AM, 10, FALSE), 1)</f>
        <v>3.0802856639941263</v>
      </c>
      <c r="T14" s="7">
        <f>$B14 * IFERROR(VLOOKUP("transport|SO2|Minor restricted activity days", US_national_yearly!$D:$AM, 28, FALSE) / VLOOKUP("transport|SO2|Minor restricted activity days", US_national_yearly!$D:$AM, 10, FALSE), 1)</f>
        <v>3.1049685555477362</v>
      </c>
      <c r="U14" s="7">
        <f>$B14 * IFERROR(VLOOKUP("transport|SO2|Minor restricted activity days", US_national_yearly!$D:$AM, 29, FALSE) / VLOOKUP("transport|SO2|Minor restricted activity days", US_national_yearly!$D:$AM, 10, FALSE), 1)</f>
        <v>3.1296514471013461</v>
      </c>
      <c r="V14" s="7">
        <f>$B14 * IFERROR(VLOOKUP("transport|SO2|Minor restricted activity days", US_national_yearly!$D:$AM, 30, FALSE) / VLOOKUP("transport|SO2|Minor restricted activity days", US_national_yearly!$D:$AM, 10, FALSE), 1)</f>
        <v>3.154334338654956</v>
      </c>
      <c r="W14" s="7">
        <f>$B14 * IFERROR(VLOOKUP("transport|SO2|Minor restricted activity days", US_national_yearly!$D:$AM, 31, FALSE) / VLOOKUP("transport|SO2|Minor restricted activity days", US_national_yearly!$D:$AM, 10, FALSE), 1)</f>
        <v>3.1790172302085664</v>
      </c>
      <c r="X14" s="7">
        <f>$B14 * IFERROR(VLOOKUP("transport|SO2|Minor restricted activity days", US_national_yearly!$D:$AM, 32, FALSE) / VLOOKUP("transport|SO2|Minor restricted activity days", US_national_yearly!$D:$AM, 10, FALSE), 1)</f>
        <v>3.2007238663795525</v>
      </c>
      <c r="Y14" s="7">
        <f>$B14 * IFERROR(VLOOKUP("transport|SO2|Minor restricted activity days", US_national_yearly!$D:$AM, 33, FALSE) / VLOOKUP("transport|SO2|Minor restricted activity days", US_national_yearly!$D:$AM, 10, FALSE), 1)</f>
        <v>3.2224305025505391</v>
      </c>
      <c r="Z14" s="7">
        <f>$B14 * IFERROR(VLOOKUP("transport|SO2|Minor restricted activity days", US_national_yearly!$D:$AM, 34, FALSE) / VLOOKUP("transport|SO2|Minor restricted activity days", US_national_yearly!$D:$AM, 10, FALSE), 1)</f>
        <v>3.2441371387215261</v>
      </c>
      <c r="AA14" s="7">
        <f>$B14 * IFERROR(VLOOKUP("transport|SO2|Minor restricted activity days", US_national_yearly!$D:$AM, 35, FALSE) / VLOOKUP("transport|SO2|Minor restricted activity days", US_national_yearly!$D:$AM, 10, FALSE), 1)</f>
        <v>3.2658437748925122</v>
      </c>
      <c r="AB14" s="7">
        <f>$B14 * IFERROR(VLOOKUP("transport|SO2|Minor restricted activity days", US_national_yearly!$D:$AM, 36, FALSE) / VLOOKUP("transport|SO2|Minor restricted activity days", US_national_yearly!$D:$AM, 10, FALSE), 1)</f>
        <v>3.2875504110634992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0.47190817745287261</v>
      </c>
      <c r="C15" s="7">
        <f>$B15 * IFERROR(VLOOKUP("transport|SO2|Work loss days", US_national_yearly!$D:$AM, 11, FALSE) / VLOOKUP("transport|SO2|Work loss days", US_national_yearly!$D:$AM, 10, FALSE), 1)</f>
        <v>0.47343708494464948</v>
      </c>
      <c r="D15" s="7">
        <f>$B15 * IFERROR(VLOOKUP("transport|SO2|Work loss days", US_national_yearly!$D:$AM, 12, FALSE) / VLOOKUP("transport|SO2|Work loss days", US_national_yearly!$D:$AM, 10, FALSE), 1)</f>
        <v>0.47496599243642634</v>
      </c>
      <c r="E15" s="7">
        <f>$B15 * IFERROR(VLOOKUP("transport|SO2|Work loss days", US_national_yearly!$D:$AM, 13, FALSE) / VLOOKUP("transport|SO2|Work loss days", US_national_yearly!$D:$AM, 10, FALSE), 1)</f>
        <v>0.47649489992820326</v>
      </c>
      <c r="F15" s="7">
        <f>$B15 * IFERROR(VLOOKUP("transport|SO2|Work loss days", US_national_yearly!$D:$AM, 14, FALSE) / VLOOKUP("transport|SO2|Work loss days", US_national_yearly!$D:$AM, 10, FALSE), 1)</f>
        <v>0.47802380741998013</v>
      </c>
      <c r="G15" s="7">
        <f>$B15 * IFERROR(VLOOKUP("transport|SO2|Work loss days", US_national_yearly!$D:$AM, 15, FALSE) / VLOOKUP("transport|SO2|Work loss days", US_national_yearly!$D:$AM, 10, FALSE), 1)</f>
        <v>0.48002151213177519</v>
      </c>
      <c r="H15" s="7">
        <f>$B15 * IFERROR(VLOOKUP("transport|SO2|Work loss days", US_national_yearly!$D:$AM, 16, FALSE) / VLOOKUP("transport|SO2|Work loss days", US_national_yearly!$D:$AM, 10, FALSE), 1)</f>
        <v>0.48201921684357013</v>
      </c>
      <c r="I15" s="7">
        <f>$B15 * IFERROR(VLOOKUP("transport|SO2|Work loss days", US_national_yearly!$D:$AM, 17, FALSE) / VLOOKUP("transport|SO2|Work loss days", US_national_yearly!$D:$AM, 10, FALSE), 1)</f>
        <v>0.48494159066441589</v>
      </c>
      <c r="J15" s="7">
        <f>$B15 * IFERROR(VLOOKUP("transport|SO2|Work loss days", US_national_yearly!$D:$AM, 18, FALSE) / VLOOKUP("transport|SO2|Work loss days", US_national_yearly!$D:$AM, 10, FALSE), 1)</f>
        <v>0.48786396448526148</v>
      </c>
      <c r="K15" s="7">
        <f>$B15 * IFERROR(VLOOKUP("transport|SO2|Work loss days", US_national_yearly!$D:$AM, 19, FALSE) / VLOOKUP("transport|SO2|Work loss days", US_national_yearly!$D:$AM, 10, FALSE), 1)</f>
        <v>0.49078633830610724</v>
      </c>
      <c r="L15" s="7">
        <f>$B15 * IFERROR(VLOOKUP("transport|SO2|Work loss days", US_national_yearly!$D:$AM, 20, FALSE) / VLOOKUP("transport|SO2|Work loss days", US_national_yearly!$D:$AM, 10, FALSE), 1)</f>
        <v>0.49370871212695294</v>
      </c>
      <c r="M15" s="7">
        <f>$B15 * IFERROR(VLOOKUP("transport|SO2|Work loss days", US_national_yearly!$D:$AM, 21, FALSE) / VLOOKUP("transport|SO2|Work loss days", US_national_yearly!$D:$AM, 10, FALSE), 1)</f>
        <v>0.4966310859477987</v>
      </c>
      <c r="N15" s="7">
        <f>$B15 * IFERROR(VLOOKUP("transport|SO2|Work loss days", US_national_yearly!$D:$AM, 22, FALSE) / VLOOKUP("transport|SO2|Work loss days", US_national_yearly!$D:$AM, 10, FALSE), 1)</f>
        <v>0.50029526914677191</v>
      </c>
      <c r="O15" s="7">
        <f>$B15 * IFERROR(VLOOKUP("transport|SO2|Work loss days", US_national_yearly!$D:$AM, 23, FALSE) / VLOOKUP("transport|SO2|Work loss days", US_national_yearly!$D:$AM, 10, FALSE), 1)</f>
        <v>0.50395945234574524</v>
      </c>
      <c r="P15" s="7">
        <f>$B15 * IFERROR(VLOOKUP("transport|SO2|Work loss days", US_national_yearly!$D:$AM, 24, FALSE) / VLOOKUP("transport|SO2|Work loss days", US_national_yearly!$D:$AM, 10, FALSE), 1)</f>
        <v>0.50762363554471845</v>
      </c>
      <c r="Q15" s="7">
        <f>$B15 * IFERROR(VLOOKUP("transport|SO2|Work loss days", US_national_yearly!$D:$AM, 25, FALSE) / VLOOKUP("transport|SO2|Work loss days", US_national_yearly!$D:$AM, 10, FALSE), 1)</f>
        <v>0.51128781874369178</v>
      </c>
      <c r="R15" s="7">
        <f>$B15 * IFERROR(VLOOKUP("transport|SO2|Work loss days", US_national_yearly!$D:$AM, 26, FALSE) / VLOOKUP("transport|SO2|Work loss days", US_national_yearly!$D:$AM, 10, FALSE), 1)</f>
        <v>0.51495200194266499</v>
      </c>
      <c r="S15" s="7">
        <f>$B15 * IFERROR(VLOOKUP("transport|SO2|Work loss days", US_national_yearly!$D:$AM, 27, FALSE) / VLOOKUP("transport|SO2|Work loss days", US_national_yearly!$D:$AM, 10, FALSE), 1)</f>
        <v>0.51904671458685991</v>
      </c>
      <c r="T15" s="7">
        <f>$B15 * IFERROR(VLOOKUP("transport|SO2|Work loss days", US_national_yearly!$D:$AM, 28, FALSE) / VLOOKUP("transport|SO2|Work loss days", US_national_yearly!$D:$AM, 10, FALSE), 1)</f>
        <v>0.52314142723105495</v>
      </c>
      <c r="U15" s="7">
        <f>$B15 * IFERROR(VLOOKUP("transport|SO2|Work loss days", US_national_yearly!$D:$AM, 29, FALSE) / VLOOKUP("transport|SO2|Work loss days", US_national_yearly!$D:$AM, 10, FALSE), 1)</f>
        <v>0.52723613987524987</v>
      </c>
      <c r="V15" s="7">
        <f>$B15 * IFERROR(VLOOKUP("transport|SO2|Work loss days", US_national_yearly!$D:$AM, 30, FALSE) / VLOOKUP("transport|SO2|Work loss days", US_national_yearly!$D:$AM, 10, FALSE), 1)</f>
        <v>0.53133085251944479</v>
      </c>
      <c r="W15" s="7">
        <f>$B15 * IFERROR(VLOOKUP("transport|SO2|Work loss days", US_national_yearly!$D:$AM, 31, FALSE) / VLOOKUP("transport|SO2|Work loss days", US_national_yearly!$D:$AM, 10, FALSE), 1)</f>
        <v>0.53542556516363982</v>
      </c>
      <c r="X15" s="7">
        <f>$B15 * IFERROR(VLOOKUP("transport|SO2|Work loss days", US_national_yearly!$D:$AM, 32, FALSE) / VLOOKUP("transport|SO2|Work loss days", US_national_yearly!$D:$AM, 10, FALSE), 1)</f>
        <v>0.53910205271679501</v>
      </c>
      <c r="Y15" s="7">
        <f>$B15 * IFERROR(VLOOKUP("transport|SO2|Work loss days", US_national_yearly!$D:$AM, 33, FALSE) / VLOOKUP("transport|SO2|Work loss days", US_national_yearly!$D:$AM, 10, FALSE), 1)</f>
        <v>0.54277854026995043</v>
      </c>
      <c r="Z15" s="7">
        <f>$B15 * IFERROR(VLOOKUP("transport|SO2|Work loss days", US_national_yearly!$D:$AM, 34, FALSE) / VLOOKUP("transport|SO2|Work loss days", US_national_yearly!$D:$AM, 10, FALSE), 1)</f>
        <v>0.54645502782310573</v>
      </c>
      <c r="AA15" s="7">
        <f>$B15 * IFERROR(VLOOKUP("transport|SO2|Work loss days", US_national_yearly!$D:$AM, 35, FALSE) / VLOOKUP("transport|SO2|Work loss days", US_national_yearly!$D:$AM, 10, FALSE), 1)</f>
        <v>0.55013151537626104</v>
      </c>
      <c r="AB15" s="7">
        <f>$B15 * IFERROR(VLOOKUP("transport|SO2|Work loss days", US_national_yearly!$D:$AM, 36, FALSE) / VLOOKUP("transport|SO2|Work loss days", US_national_yearly!$D:$AM, 10, FALSE), 1)</f>
        <v>0.55380800292941634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8.7384799680235731E-4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9.0027650655820433E-4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9.2670501631405135E-4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9.5313352606989836E-4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9.7956203582574559E-4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1.0048780352133577E-3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1.03019403460097E-3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1.0518849057020005E-3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1.073575776803031E-3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1.0952666479040615E-3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1.1169575190050922E-3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1.1386483901061225E-3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1.1532197145274425E-3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1.1677910389487622E-3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1.1823623633700822E-3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1.196933687791402E-3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1.211505012212722E-3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1.2191684913790686E-3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1.2268319705454149E-3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1.2344954497117615E-3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1.2421589288781078E-3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1.2498224080444544E-3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1.2549671549440889E-3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1.2601119018437234E-3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1.2652566487433578E-3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1.2704013956429925E-3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1.275546142542627E-3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1.1243660332799221E-2</v>
      </c>
      <c r="C2" s="7">
        <f>$B2 * IFERROR(VLOOKUP("electricity|PM25|Premature mortality", US_national_yearly!$D:$AM, 11, FALSE) / VLOOKUP("electricity|PM25|Premature mortality", US_national_yearly!$D:$AM, 10, FALSE), 1)</f>
        <v>1.1382926982724082E-2</v>
      </c>
      <c r="D2" s="7">
        <f>$B2 * IFERROR(VLOOKUP("electricity|PM25|Premature mortality", US_national_yearly!$D:$AM, 12, FALSE) / VLOOKUP("electricity|PM25|Premature mortality", US_national_yearly!$D:$AM, 10, FALSE), 1)</f>
        <v>1.1522193632648945E-2</v>
      </c>
      <c r="E2" s="7">
        <f>$B2 * IFERROR(VLOOKUP("electricity|PM25|Premature mortality", US_national_yearly!$D:$AM, 13, FALSE) / VLOOKUP("electricity|PM25|Premature mortality", US_national_yearly!$D:$AM, 10, FALSE), 1)</f>
        <v>1.1661460282573807E-2</v>
      </c>
      <c r="F2" s="7">
        <f>$B2 * IFERROR(VLOOKUP("electricity|PM25|Premature mortality", US_national_yearly!$D:$AM, 14, FALSE) / VLOOKUP("electricity|PM25|Premature mortality", US_national_yearly!$D:$AM, 10, FALSE), 1)</f>
        <v>1.1800726932498671E-2</v>
      </c>
      <c r="G2" s="7">
        <f>$B2 * IFERROR(VLOOKUP("electricity|PM25|Premature mortality", US_national_yearly!$D:$AM, 15, FALSE) / VLOOKUP("electricity|PM25|Premature mortality", US_national_yearly!$D:$AM, 10, FALSE), 1)</f>
        <v>1.2074254039384821E-2</v>
      </c>
      <c r="H2" s="7">
        <f>$B2 * IFERROR(VLOOKUP("electricity|PM25|Premature mortality", US_national_yearly!$D:$AM, 16, FALSE) / VLOOKUP("electricity|PM25|Premature mortality", US_national_yearly!$D:$AM, 10, FALSE), 1)</f>
        <v>1.2347781146270973E-2</v>
      </c>
      <c r="I2" s="7">
        <f>$B2 * IFERROR(VLOOKUP("electricity|PM25|Premature mortality", US_national_yearly!$D:$AM, 17, FALSE) / VLOOKUP("electricity|PM25|Premature mortality", US_national_yearly!$D:$AM, 10, FALSE), 1)</f>
        <v>1.2531566332828984E-2</v>
      </c>
      <c r="J2" s="7">
        <f>$B2 * IFERROR(VLOOKUP("electricity|PM25|Premature mortality", US_national_yearly!$D:$AM, 18, FALSE) / VLOOKUP("electricity|PM25|Premature mortality", US_national_yearly!$D:$AM, 10, FALSE), 1)</f>
        <v>1.2715351519386998E-2</v>
      </c>
      <c r="K2" s="7">
        <f>$B2 * IFERROR(VLOOKUP("electricity|PM25|Premature mortality", US_national_yearly!$D:$AM, 19, FALSE) / VLOOKUP("electricity|PM25|Premature mortality", US_national_yearly!$D:$AM, 10, FALSE), 1)</f>
        <v>1.2899136705945011E-2</v>
      </c>
      <c r="L2" s="7">
        <f>$B2 * IFERROR(VLOOKUP("electricity|PM25|Premature mortality", US_national_yearly!$D:$AM, 20, FALSE) / VLOOKUP("electricity|PM25|Premature mortality", US_national_yearly!$D:$AM, 10, FALSE), 1)</f>
        <v>1.3082921892503025E-2</v>
      </c>
      <c r="M2" s="7">
        <f>$B2 * IFERROR(VLOOKUP("electricity|PM25|Premature mortality", US_national_yearly!$D:$AM, 21, FALSE) / VLOOKUP("electricity|PM25|Premature mortality", US_national_yearly!$D:$AM, 10, FALSE), 1)</f>
        <v>1.3266707079061036E-2</v>
      </c>
      <c r="N2" s="7">
        <f>$B2 * IFERROR(VLOOKUP("electricity|PM25|Premature mortality", US_national_yearly!$D:$AM, 22, FALSE) / VLOOKUP("electricity|PM25|Premature mortality", US_national_yearly!$D:$AM, 10, FALSE), 1)</f>
        <v>1.3413204680263467E-2</v>
      </c>
      <c r="O2" s="7">
        <f>$B2 * IFERROR(VLOOKUP("electricity|PM25|Premature mortality", US_national_yearly!$D:$AM, 23, FALSE) / VLOOKUP("electricity|PM25|Premature mortality", US_national_yearly!$D:$AM, 10, FALSE), 1)</f>
        <v>1.3559702281465894E-2</v>
      </c>
      <c r="P2" s="7">
        <f>$B2 * IFERROR(VLOOKUP("electricity|PM25|Premature mortality", US_national_yearly!$D:$AM, 24, FALSE) / VLOOKUP("electricity|PM25|Premature mortality", US_national_yearly!$D:$AM, 10, FALSE), 1)</f>
        <v>1.3706199882668324E-2</v>
      </c>
      <c r="Q2" s="7">
        <f>$B2 * IFERROR(VLOOKUP("electricity|PM25|Premature mortality", US_national_yearly!$D:$AM, 25, FALSE) / VLOOKUP("electricity|PM25|Premature mortality", US_national_yearly!$D:$AM, 10, FALSE), 1)</f>
        <v>1.3852697483870751E-2</v>
      </c>
      <c r="R2" s="7">
        <f>$B2 * IFERROR(VLOOKUP("electricity|PM25|Premature mortality", US_national_yearly!$D:$AM, 26, FALSE) / VLOOKUP("electricity|PM25|Premature mortality", US_national_yearly!$D:$AM, 10, FALSE), 1)</f>
        <v>1.3999195085073182E-2</v>
      </c>
      <c r="S2" s="7">
        <f>$B2 * IFERROR(VLOOKUP("electricity|PM25|Premature mortality", US_national_yearly!$D:$AM, 27, FALSE) / VLOOKUP("electricity|PM25|Premature mortality", US_national_yearly!$D:$AM, 10, FALSE), 1)</f>
        <v>1.408302179767146E-2</v>
      </c>
      <c r="T2" s="7">
        <f>$B2 * IFERROR(VLOOKUP("electricity|PM25|Premature mortality", US_national_yearly!$D:$AM, 28, FALSE) / VLOOKUP("electricity|PM25|Premature mortality", US_national_yearly!$D:$AM, 10, FALSE), 1)</f>
        <v>1.4166848510269734E-2</v>
      </c>
      <c r="U2" s="7">
        <f>$B2 * IFERROR(VLOOKUP("electricity|PM25|Premature mortality", US_national_yearly!$D:$AM, 29, FALSE) / VLOOKUP("electricity|PM25|Premature mortality", US_national_yearly!$D:$AM, 10, FALSE), 1)</f>
        <v>1.4250675222868015E-2</v>
      </c>
      <c r="V2" s="7">
        <f>$B2 * IFERROR(VLOOKUP("electricity|PM25|Premature mortality", US_national_yearly!$D:$AM, 30, FALSE) / VLOOKUP("electricity|PM25|Premature mortality", US_national_yearly!$D:$AM, 10, FALSE), 1)</f>
        <v>1.4334501935466289E-2</v>
      </c>
      <c r="W2" s="7">
        <f>$B2 * IFERROR(VLOOKUP("electricity|PM25|Premature mortality", US_national_yearly!$D:$AM, 31, FALSE) / VLOOKUP("electricity|PM25|Premature mortality", US_national_yearly!$D:$AM, 10, FALSE), 1)</f>
        <v>1.4418328648064567E-2</v>
      </c>
      <c r="X2" s="7">
        <f>$B2 * IFERROR(VLOOKUP("electricity|PM25|Premature mortality", US_national_yearly!$D:$AM, 32, FALSE) / VLOOKUP("electricity|PM25|Premature mortality", US_national_yearly!$D:$AM, 10, FALSE), 1)</f>
        <v>1.4441615166834985E-2</v>
      </c>
      <c r="Y2" s="7">
        <f>$B2 * IFERROR(VLOOKUP("electricity|PM25|Premature mortality", US_national_yearly!$D:$AM, 33, FALSE) / VLOOKUP("electricity|PM25|Premature mortality", US_national_yearly!$D:$AM, 10, FALSE), 1)</f>
        <v>1.4464901685605401E-2</v>
      </c>
      <c r="Z2" s="7">
        <f>$B2 * IFERROR(VLOOKUP("electricity|PM25|Premature mortality", US_national_yearly!$D:$AM, 34, FALSE) / VLOOKUP("electricity|PM25|Premature mortality", US_national_yearly!$D:$AM, 10, FALSE), 1)</f>
        <v>1.4488188204375819E-2</v>
      </c>
      <c r="AA2" s="7">
        <f>$B2 * IFERROR(VLOOKUP("electricity|PM25|Premature mortality", US_national_yearly!$D:$AM, 35, FALSE) / VLOOKUP("electricity|PM25|Premature mortality", US_national_yearly!$D:$AM, 10, FALSE), 1)</f>
        <v>1.4511474723146239E-2</v>
      </c>
      <c r="AB2" s="7">
        <f>$B2 * IFERROR(VLOOKUP("electricity|PM25|Premature mortality", US_national_yearly!$D:$AM, 36, FALSE) / VLOOKUP("electricity|PM25|Premature mortality", US_national_yearly!$D:$AM, 10, FALSE), 1)</f>
        <v>1.4534761241916655E-2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2.5937377941313759E-5</v>
      </c>
      <c r="C3" s="7">
        <f>$B3 * IFERROR(VLOOKUP("electricity|PM25|Infant mortality", US_national_yearly!$D:$AM, 11, FALSE) / VLOOKUP("electricity|PM25|Infant mortality", US_national_yearly!$D:$AM, 10, FALSE), 1)</f>
        <v>2.5711385632644522E-5</v>
      </c>
      <c r="D3" s="7">
        <f>$B3 * IFERROR(VLOOKUP("electricity|PM25|Infant mortality", US_national_yearly!$D:$AM, 12, FALSE) / VLOOKUP("electricity|PM25|Infant mortality", US_national_yearly!$D:$AM, 10, FALSE), 1)</f>
        <v>2.5485393323975292E-5</v>
      </c>
      <c r="E3" s="7">
        <f>$B3 * IFERROR(VLOOKUP("electricity|PM25|Infant mortality", US_national_yearly!$D:$AM, 13, FALSE) / VLOOKUP("electricity|PM25|Infant mortality", US_national_yearly!$D:$AM, 10, FALSE), 1)</f>
        <v>2.5259401015306058E-5</v>
      </c>
      <c r="F3" s="7">
        <f>$B3 * IFERROR(VLOOKUP("electricity|PM25|Infant mortality", US_national_yearly!$D:$AM, 14, FALSE) / VLOOKUP("electricity|PM25|Infant mortality", US_national_yearly!$D:$AM, 10, FALSE), 1)</f>
        <v>2.5033408706636821E-5</v>
      </c>
      <c r="G3" s="7">
        <f>$B3 * IFERROR(VLOOKUP("electricity|PM25|Infant mortality", US_national_yearly!$D:$AM, 15, FALSE) / VLOOKUP("electricity|PM25|Infant mortality", US_national_yearly!$D:$AM, 10, FALSE), 1)</f>
        <v>1.6601376402552945E-5</v>
      </c>
      <c r="H3" s="7">
        <f>$B3 * IFERROR(VLOOKUP("electricity|PM25|Infant mortality", US_national_yearly!$D:$AM, 16, FALSE) / VLOOKUP("electricity|PM25|Infant mortality", US_national_yearly!$D:$AM, 10, FALSE), 1)</f>
        <v>8.169344098469066E-6</v>
      </c>
      <c r="I3" s="7">
        <f>$B3 * IFERROR(VLOOKUP("electricity|PM25|Infant mortality", US_national_yearly!$D:$AM, 17, FALSE) / VLOOKUP("electricity|PM25|Infant mortality", US_national_yearly!$D:$AM, 10, FALSE), 1)</f>
        <v>8.1116647857415996E-6</v>
      </c>
      <c r="J3" s="7">
        <f>$B3 * IFERROR(VLOOKUP("electricity|PM25|Infant mortality", US_national_yearly!$D:$AM, 18, FALSE) / VLOOKUP("electricity|PM25|Infant mortality", US_national_yearly!$D:$AM, 10, FALSE), 1)</f>
        <v>8.0539854730141349E-6</v>
      </c>
      <c r="K3" s="7">
        <f>$B3 * IFERROR(VLOOKUP("electricity|PM25|Infant mortality", US_national_yearly!$D:$AM, 19, FALSE) / VLOOKUP("electricity|PM25|Infant mortality", US_national_yearly!$D:$AM, 10, FALSE), 1)</f>
        <v>7.9963061602866685E-6</v>
      </c>
      <c r="L3" s="7">
        <f>$B3 * IFERROR(VLOOKUP("electricity|PM25|Infant mortality", US_national_yearly!$D:$AM, 20, FALSE) / VLOOKUP("electricity|PM25|Infant mortality", US_national_yearly!$D:$AM, 10, FALSE), 1)</f>
        <v>7.938626847559202E-6</v>
      </c>
      <c r="M3" s="7">
        <f>$B3 * IFERROR(VLOOKUP("electricity|PM25|Infant mortality", US_national_yearly!$D:$AM, 21, FALSE) / VLOOKUP("electricity|PM25|Infant mortality", US_national_yearly!$D:$AM, 10, FALSE), 1)</f>
        <v>7.8809475348317356E-6</v>
      </c>
      <c r="N3" s="7">
        <f>$B3 * IFERROR(VLOOKUP("electricity|PM25|Infant mortality", US_national_yearly!$D:$AM, 22, FALSE) / VLOOKUP("electricity|PM25|Infant mortality", US_national_yearly!$D:$AM, 10, FALSE), 1)</f>
        <v>7.8438520787986331E-6</v>
      </c>
      <c r="O3" s="7">
        <f>$B3 * IFERROR(VLOOKUP("electricity|PM25|Infant mortality", US_national_yearly!$D:$AM, 23, FALSE) / VLOOKUP("electricity|PM25|Infant mortality", US_national_yearly!$D:$AM, 10, FALSE), 1)</f>
        <v>7.8067566227655305E-6</v>
      </c>
      <c r="P3" s="7">
        <f>$B3 * IFERROR(VLOOKUP("electricity|PM25|Infant mortality", US_national_yearly!$D:$AM, 24, FALSE) / VLOOKUP("electricity|PM25|Infant mortality", US_national_yearly!$D:$AM, 10, FALSE), 1)</f>
        <v>7.7696611667324263E-6</v>
      </c>
      <c r="Q3" s="7">
        <f>$B3 * IFERROR(VLOOKUP("electricity|PM25|Infant mortality", US_national_yearly!$D:$AM, 25, FALSE) / VLOOKUP("electricity|PM25|Infant mortality", US_national_yearly!$D:$AM, 10, FALSE), 1)</f>
        <v>7.7325657106993237E-6</v>
      </c>
      <c r="R3" s="7">
        <f>$B3 * IFERROR(VLOOKUP("electricity|PM25|Infant mortality", US_national_yearly!$D:$AM, 26, FALSE) / VLOOKUP("electricity|PM25|Infant mortality", US_national_yearly!$D:$AM, 10, FALSE), 1)</f>
        <v>7.6954702546662195E-6</v>
      </c>
      <c r="S3" s="7">
        <f>$B3 * IFERROR(VLOOKUP("electricity|PM25|Infant mortality", US_national_yearly!$D:$AM, 27, FALSE) / VLOOKUP("electricity|PM25|Infant mortality", US_national_yearly!$D:$AM, 10, FALSE), 1)</f>
        <v>7.6510290693843187E-6</v>
      </c>
      <c r="T3" s="7">
        <f>$B3 * IFERROR(VLOOKUP("electricity|PM25|Infant mortality", US_national_yearly!$D:$AM, 28, FALSE) / VLOOKUP("electricity|PM25|Infant mortality", US_national_yearly!$D:$AM, 10, FALSE), 1)</f>
        <v>7.6065878841024171E-6</v>
      </c>
      <c r="U3" s="7">
        <f>$B3 * IFERROR(VLOOKUP("electricity|PM25|Infant mortality", US_national_yearly!$D:$AM, 29, FALSE) / VLOOKUP("electricity|PM25|Infant mortality", US_national_yearly!$D:$AM, 10, FALSE), 1)</f>
        <v>7.5621466988205172E-6</v>
      </c>
      <c r="V3" s="7">
        <f>$B3 * IFERROR(VLOOKUP("electricity|PM25|Infant mortality", US_national_yearly!$D:$AM, 30, FALSE) / VLOOKUP("electricity|PM25|Infant mortality", US_national_yearly!$D:$AM, 10, FALSE), 1)</f>
        <v>7.5177055135386156E-6</v>
      </c>
      <c r="W3" s="7">
        <f>$B3 * IFERROR(VLOOKUP("electricity|PM25|Infant mortality", US_national_yearly!$D:$AM, 31, FALSE) / VLOOKUP("electricity|PM25|Infant mortality", US_national_yearly!$D:$AM, 10, FALSE), 1)</f>
        <v>7.4732643282567139E-6</v>
      </c>
      <c r="X3" s="7">
        <f>$B3 * IFERROR(VLOOKUP("electricity|PM25|Infant mortality", US_national_yearly!$D:$AM, 32, FALSE) / VLOOKUP("electricity|PM25|Infant mortality", US_national_yearly!$D:$AM, 10, FALSE), 1)</f>
        <v>7.4273399120034762E-6</v>
      </c>
      <c r="Y3" s="7">
        <f>$B3 * IFERROR(VLOOKUP("electricity|PM25|Infant mortality", US_national_yearly!$D:$AM, 33, FALSE) / VLOOKUP("electricity|PM25|Infant mortality", US_national_yearly!$D:$AM, 10, FALSE), 1)</f>
        <v>7.3814154957502376E-6</v>
      </c>
      <c r="Z3" s="7">
        <f>$B3 * IFERROR(VLOOKUP("electricity|PM25|Infant mortality", US_national_yearly!$D:$AM, 34, FALSE) / VLOOKUP("electricity|PM25|Infant mortality", US_national_yearly!$D:$AM, 10, FALSE), 1)</f>
        <v>7.3354910794969998E-6</v>
      </c>
      <c r="AA3" s="7">
        <f>$B3 * IFERROR(VLOOKUP("electricity|PM25|Infant mortality", US_national_yearly!$D:$AM, 35, FALSE) / VLOOKUP("electricity|PM25|Infant mortality", US_national_yearly!$D:$AM, 10, FALSE), 1)</f>
        <v>7.289566663243762E-6</v>
      </c>
      <c r="AB3" s="7">
        <f>$B3 * IFERROR(VLOOKUP("electricity|PM25|Infant mortality", US_national_yearly!$D:$AM, 36, FALSE) / VLOOKUP("electricity|PM25|Infant mortality", US_national_yearly!$D:$AM, 10, FALSE), 1)</f>
        <v>7.2436422469905234E-6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2.3942523776239212E-2</v>
      </c>
      <c r="C6" s="7">
        <f>$B6 * IFERROR(VLOOKUP("electricity|PM25|Asthma symptoms cough", US_national_yearly!$D:$AM, 11, FALSE) / VLOOKUP("electricity|PM25|Asthma symptoms cough", US_national_yearly!$D:$AM, 10, FALSE), 1)</f>
        <v>2.3942523776239212E-2</v>
      </c>
      <c r="D6" s="7">
        <f>$B6 * IFERROR(VLOOKUP("electricity|PM25|Asthma symptoms cough", US_national_yearly!$D:$AM, 12, FALSE) / VLOOKUP("electricity|PM25|Asthma symptoms cough", US_national_yearly!$D:$AM, 10, FALSE), 1)</f>
        <v>2.3942523776239212E-2</v>
      </c>
      <c r="E6" s="7">
        <f>$B6 * IFERROR(VLOOKUP("electricity|PM25|Asthma symptoms cough", US_national_yearly!$D:$AM, 13, FALSE) / VLOOKUP("electricity|PM25|Asthma symptoms cough", US_national_yearly!$D:$AM, 10, FALSE), 1)</f>
        <v>2.3942523776239212E-2</v>
      </c>
      <c r="F6" s="7">
        <f>$B6 * IFERROR(VLOOKUP("electricity|PM25|Asthma symptoms cough", US_national_yearly!$D:$AM, 14, FALSE) / VLOOKUP("electricity|PM25|Asthma symptoms cough", US_national_yearly!$D:$AM, 10, FALSE), 1)</f>
        <v>2.3942523776239212E-2</v>
      </c>
      <c r="G6" s="7">
        <f>$B6 * IFERROR(VLOOKUP("electricity|PM25|Asthma symptoms cough", US_national_yearly!$D:$AM, 15, FALSE) / VLOOKUP("electricity|PM25|Asthma symptoms cough", US_national_yearly!$D:$AM, 10, FALSE), 1)</f>
        <v>2.3942523776239212E-2</v>
      </c>
      <c r="H6" s="7">
        <f>$B6 * IFERROR(VLOOKUP("electricity|PM25|Asthma symptoms cough", US_national_yearly!$D:$AM, 16, FALSE) / VLOOKUP("electricity|PM25|Asthma symptoms cough", US_national_yearly!$D:$AM, 10, FALSE), 1)</f>
        <v>2.3942523776239212E-2</v>
      </c>
      <c r="I6" s="7">
        <f>$B6 * IFERROR(VLOOKUP("electricity|PM25|Asthma symptoms cough", US_national_yearly!$D:$AM, 17, FALSE) / VLOOKUP("electricity|PM25|Asthma symptoms cough", US_national_yearly!$D:$AM, 10, FALSE), 1)</f>
        <v>2.3942523776239212E-2</v>
      </c>
      <c r="J6" s="7">
        <f>$B6 * IFERROR(VLOOKUP("electricity|PM25|Asthma symptoms cough", US_national_yearly!$D:$AM, 18, FALSE) / VLOOKUP("electricity|PM25|Asthma symptoms cough", US_national_yearly!$D:$AM, 10, FALSE), 1)</f>
        <v>2.3942523776239212E-2</v>
      </c>
      <c r="K6" s="7">
        <f>$B6 * IFERROR(VLOOKUP("electricity|PM25|Asthma symptoms cough", US_national_yearly!$D:$AM, 19, FALSE) / VLOOKUP("electricity|PM25|Asthma symptoms cough", US_national_yearly!$D:$AM, 10, FALSE), 1)</f>
        <v>2.3942523776239212E-2</v>
      </c>
      <c r="L6" s="7">
        <f>$B6 * IFERROR(VLOOKUP("electricity|PM25|Asthma symptoms cough", US_national_yearly!$D:$AM, 20, FALSE) / VLOOKUP("electricity|PM25|Asthma symptoms cough", US_national_yearly!$D:$AM, 10, FALSE), 1)</f>
        <v>2.3942523776239212E-2</v>
      </c>
      <c r="M6" s="7">
        <f>$B6 * IFERROR(VLOOKUP("electricity|PM25|Asthma symptoms cough", US_national_yearly!$D:$AM, 21, FALSE) / VLOOKUP("electricity|PM25|Asthma symptoms cough", US_national_yearly!$D:$AM, 10, FALSE), 1)</f>
        <v>2.3942523776239212E-2</v>
      </c>
      <c r="N6" s="7">
        <f>$B6 * IFERROR(VLOOKUP("electricity|PM25|Asthma symptoms cough", US_national_yearly!$D:$AM, 22, FALSE) / VLOOKUP("electricity|PM25|Asthma symptoms cough", US_national_yearly!$D:$AM, 10, FALSE), 1)</f>
        <v>2.3942523776239212E-2</v>
      </c>
      <c r="O6" s="7">
        <f>$B6 * IFERROR(VLOOKUP("electricity|PM25|Asthma symptoms cough", US_national_yearly!$D:$AM, 23, FALSE) / VLOOKUP("electricity|PM25|Asthma symptoms cough", US_national_yearly!$D:$AM, 10, FALSE), 1)</f>
        <v>2.3942523776239212E-2</v>
      </c>
      <c r="P6" s="7">
        <f>$B6 * IFERROR(VLOOKUP("electricity|PM25|Asthma symptoms cough", US_national_yearly!$D:$AM, 24, FALSE) / VLOOKUP("electricity|PM25|Asthma symptoms cough", US_national_yearly!$D:$AM, 10, FALSE), 1)</f>
        <v>2.3942523776239212E-2</v>
      </c>
      <c r="Q6" s="7">
        <f>$B6 * IFERROR(VLOOKUP("electricity|PM25|Asthma symptoms cough", US_national_yearly!$D:$AM, 25, FALSE) / VLOOKUP("electricity|PM25|Asthma symptoms cough", US_national_yearly!$D:$AM, 10, FALSE), 1)</f>
        <v>2.3942523776239212E-2</v>
      </c>
      <c r="R6" s="7">
        <f>$B6 * IFERROR(VLOOKUP("electricity|PM25|Asthma symptoms cough", US_national_yearly!$D:$AM, 26, FALSE) / VLOOKUP("electricity|PM25|Asthma symptoms cough", US_national_yearly!$D:$AM, 10, FALSE), 1)</f>
        <v>2.3942523776239212E-2</v>
      </c>
      <c r="S6" s="7">
        <f>$B6 * IFERROR(VLOOKUP("electricity|PM25|Asthma symptoms cough", US_national_yearly!$D:$AM, 27, FALSE) / VLOOKUP("electricity|PM25|Asthma symptoms cough", US_national_yearly!$D:$AM, 10, FALSE), 1)</f>
        <v>2.3942523776239212E-2</v>
      </c>
      <c r="T6" s="7">
        <f>$B6 * IFERROR(VLOOKUP("electricity|PM25|Asthma symptoms cough", US_national_yearly!$D:$AM, 28, FALSE) / VLOOKUP("electricity|PM25|Asthma symptoms cough", US_national_yearly!$D:$AM, 10, FALSE), 1)</f>
        <v>2.3942523776239212E-2</v>
      </c>
      <c r="U6" s="7">
        <f>$B6 * IFERROR(VLOOKUP("electricity|PM25|Asthma symptoms cough", US_national_yearly!$D:$AM, 29, FALSE) / VLOOKUP("electricity|PM25|Asthma symptoms cough", US_national_yearly!$D:$AM, 10, FALSE), 1)</f>
        <v>2.3942523776239212E-2</v>
      </c>
      <c r="V6" s="7">
        <f>$B6 * IFERROR(VLOOKUP("electricity|PM25|Asthma symptoms cough", US_national_yearly!$D:$AM, 30, FALSE) / VLOOKUP("electricity|PM25|Asthma symptoms cough", US_national_yearly!$D:$AM, 10, FALSE), 1)</f>
        <v>2.3942523776239212E-2</v>
      </c>
      <c r="W6" s="7">
        <f>$B6 * IFERROR(VLOOKUP("electricity|PM25|Asthma symptoms cough", US_national_yearly!$D:$AM, 31, FALSE) / VLOOKUP("electricity|PM25|Asthma symptoms cough", US_national_yearly!$D:$AM, 10, FALSE), 1)</f>
        <v>2.3942523776239212E-2</v>
      </c>
      <c r="X6" s="7">
        <f>$B6 * IFERROR(VLOOKUP("electricity|PM25|Asthma symptoms cough", US_national_yearly!$D:$AM, 32, FALSE) / VLOOKUP("electricity|PM25|Asthma symptoms cough", US_national_yearly!$D:$AM, 10, FALSE), 1)</f>
        <v>2.3942523776239212E-2</v>
      </c>
      <c r="Y6" s="7">
        <f>$B6 * IFERROR(VLOOKUP("electricity|PM25|Asthma symptoms cough", US_national_yearly!$D:$AM, 33, FALSE) / VLOOKUP("electricity|PM25|Asthma symptoms cough", US_national_yearly!$D:$AM, 10, FALSE), 1)</f>
        <v>2.3942523776239212E-2</v>
      </c>
      <c r="Z6" s="7">
        <f>$B6 * IFERROR(VLOOKUP("electricity|PM25|Asthma symptoms cough", US_national_yearly!$D:$AM, 34, FALSE) / VLOOKUP("electricity|PM25|Asthma symptoms cough", US_national_yearly!$D:$AM, 10, FALSE), 1)</f>
        <v>2.3942523776239212E-2</v>
      </c>
      <c r="AA6" s="7">
        <f>$B6 * IFERROR(VLOOKUP("electricity|PM25|Asthma symptoms cough", US_national_yearly!$D:$AM, 35, FALSE) / VLOOKUP("electricity|PM25|Asthma symptoms cough", US_national_yearly!$D:$AM, 10, FALSE), 1)</f>
        <v>2.3942523776239212E-2</v>
      </c>
      <c r="AB6" s="7">
        <f>$B6 * IFERROR(VLOOKUP("electricity|PM25|Asthma symptoms cough", US_national_yearly!$D:$AM, 36, FALSE) / VLOOKUP("electricity|PM25|Asthma symptoms cough", US_national_yearly!$D:$AM, 10, FALSE), 1)</f>
        <v>2.3942523776239212E-2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3.2241897227806987E-2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3.2241897227806987E-2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3.2241897227806987E-2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3.2241897227806987E-2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3.2241897227806987E-2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3.2241897227806987E-2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3.2241897227806987E-2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3.2241897227806987E-2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3.2241897227806987E-2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3.2241897227806987E-2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3.2241897227806987E-2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3.2241897227806987E-2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3.2241897227806987E-2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3.2241897227806987E-2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3.2241897227806987E-2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3.2241897227806987E-2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3.2241897227806987E-2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3.2241897227806987E-2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3.2241897227806987E-2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3.2241897227806987E-2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3.2241897227806987E-2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3.2241897227806987E-2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3.2241897227806987E-2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3.2241897227806987E-2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3.2241897227806987E-2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3.2241897227806987E-2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3.2241897227806987E-2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4.926081528305961E-2</v>
      </c>
      <c r="C8" s="7">
        <f>$B8 * IFERROR(VLOOKUP("electricity|PM25|Asthma symptoms wheeze", US_national_yearly!$D:$AM, 11, FALSE) / VLOOKUP("electricity|PM25|Asthma symptoms wheeze", US_national_yearly!$D:$AM, 10, FALSE), 1)</f>
        <v>4.926081528305961E-2</v>
      </c>
      <c r="D8" s="7">
        <f>$B8 * IFERROR(VLOOKUP("electricity|PM25|Asthma symptoms wheeze", US_national_yearly!$D:$AM, 12, FALSE) / VLOOKUP("electricity|PM25|Asthma symptoms wheeze", US_national_yearly!$D:$AM, 10, FALSE), 1)</f>
        <v>4.926081528305961E-2</v>
      </c>
      <c r="E8" s="7">
        <f>$B8 * IFERROR(VLOOKUP("electricity|PM25|Asthma symptoms wheeze", US_national_yearly!$D:$AM, 13, FALSE) / VLOOKUP("electricity|PM25|Asthma symptoms wheeze", US_national_yearly!$D:$AM, 10, FALSE), 1)</f>
        <v>4.926081528305961E-2</v>
      </c>
      <c r="F8" s="7">
        <f>$B8 * IFERROR(VLOOKUP("electricity|PM25|Asthma symptoms wheeze", US_national_yearly!$D:$AM, 14, FALSE) / VLOOKUP("electricity|PM25|Asthma symptoms wheeze", US_national_yearly!$D:$AM, 10, FALSE), 1)</f>
        <v>4.926081528305961E-2</v>
      </c>
      <c r="G8" s="7">
        <f>$B8 * IFERROR(VLOOKUP("electricity|PM25|Asthma symptoms wheeze", US_national_yearly!$D:$AM, 15, FALSE) / VLOOKUP("electricity|PM25|Asthma symptoms wheeze", US_national_yearly!$D:$AM, 10, FALSE), 1)</f>
        <v>4.926081528305961E-2</v>
      </c>
      <c r="H8" s="7">
        <f>$B8 * IFERROR(VLOOKUP("electricity|PM25|Asthma symptoms wheeze", US_national_yearly!$D:$AM, 16, FALSE) / VLOOKUP("electricity|PM25|Asthma symptoms wheeze", US_national_yearly!$D:$AM, 10, FALSE), 1)</f>
        <v>4.926081528305961E-2</v>
      </c>
      <c r="I8" s="7">
        <f>$B8 * IFERROR(VLOOKUP("electricity|PM25|Asthma symptoms wheeze", US_national_yearly!$D:$AM, 17, FALSE) / VLOOKUP("electricity|PM25|Asthma symptoms wheeze", US_national_yearly!$D:$AM, 10, FALSE), 1)</f>
        <v>4.926081528305961E-2</v>
      </c>
      <c r="J8" s="7">
        <f>$B8 * IFERROR(VLOOKUP("electricity|PM25|Asthma symptoms wheeze", US_national_yearly!$D:$AM, 18, FALSE) / VLOOKUP("electricity|PM25|Asthma symptoms wheeze", US_national_yearly!$D:$AM, 10, FALSE), 1)</f>
        <v>4.926081528305961E-2</v>
      </c>
      <c r="K8" s="7">
        <f>$B8 * IFERROR(VLOOKUP("electricity|PM25|Asthma symptoms wheeze", US_national_yearly!$D:$AM, 19, FALSE) / VLOOKUP("electricity|PM25|Asthma symptoms wheeze", US_national_yearly!$D:$AM, 10, FALSE), 1)</f>
        <v>4.926081528305961E-2</v>
      </c>
      <c r="L8" s="7">
        <f>$B8 * IFERROR(VLOOKUP("electricity|PM25|Asthma symptoms wheeze", US_national_yearly!$D:$AM, 20, FALSE) / VLOOKUP("electricity|PM25|Asthma symptoms wheeze", US_national_yearly!$D:$AM, 10, FALSE), 1)</f>
        <v>4.926081528305961E-2</v>
      </c>
      <c r="M8" s="7">
        <f>$B8 * IFERROR(VLOOKUP("electricity|PM25|Asthma symptoms wheeze", US_national_yearly!$D:$AM, 21, FALSE) / VLOOKUP("electricity|PM25|Asthma symptoms wheeze", US_national_yearly!$D:$AM, 10, FALSE), 1)</f>
        <v>4.926081528305961E-2</v>
      </c>
      <c r="N8" s="7">
        <f>$B8 * IFERROR(VLOOKUP("electricity|PM25|Asthma symptoms wheeze", US_national_yearly!$D:$AM, 22, FALSE) / VLOOKUP("electricity|PM25|Asthma symptoms wheeze", US_national_yearly!$D:$AM, 10, FALSE), 1)</f>
        <v>4.926081528305961E-2</v>
      </c>
      <c r="O8" s="7">
        <f>$B8 * IFERROR(VLOOKUP("electricity|PM25|Asthma symptoms wheeze", US_national_yearly!$D:$AM, 23, FALSE) / VLOOKUP("electricity|PM25|Asthma symptoms wheeze", US_national_yearly!$D:$AM, 10, FALSE), 1)</f>
        <v>4.926081528305961E-2</v>
      </c>
      <c r="P8" s="7">
        <f>$B8 * IFERROR(VLOOKUP("electricity|PM25|Asthma symptoms wheeze", US_national_yearly!$D:$AM, 24, FALSE) / VLOOKUP("electricity|PM25|Asthma symptoms wheeze", US_national_yearly!$D:$AM, 10, FALSE), 1)</f>
        <v>4.926081528305961E-2</v>
      </c>
      <c r="Q8" s="7">
        <f>$B8 * IFERROR(VLOOKUP("electricity|PM25|Asthma symptoms wheeze", US_national_yearly!$D:$AM, 25, FALSE) / VLOOKUP("electricity|PM25|Asthma symptoms wheeze", US_national_yearly!$D:$AM, 10, FALSE), 1)</f>
        <v>4.926081528305961E-2</v>
      </c>
      <c r="R8" s="7">
        <f>$B8 * IFERROR(VLOOKUP("electricity|PM25|Asthma symptoms wheeze", US_national_yearly!$D:$AM, 26, FALSE) / VLOOKUP("electricity|PM25|Asthma symptoms wheeze", US_national_yearly!$D:$AM, 10, FALSE), 1)</f>
        <v>4.926081528305961E-2</v>
      </c>
      <c r="S8" s="7">
        <f>$B8 * IFERROR(VLOOKUP("electricity|PM25|Asthma symptoms wheeze", US_national_yearly!$D:$AM, 27, FALSE) / VLOOKUP("electricity|PM25|Asthma symptoms wheeze", US_national_yearly!$D:$AM, 10, FALSE), 1)</f>
        <v>4.926081528305961E-2</v>
      </c>
      <c r="T8" s="7">
        <f>$B8 * IFERROR(VLOOKUP("electricity|PM25|Asthma symptoms wheeze", US_national_yearly!$D:$AM, 28, FALSE) / VLOOKUP("electricity|PM25|Asthma symptoms wheeze", US_national_yearly!$D:$AM, 10, FALSE), 1)</f>
        <v>4.926081528305961E-2</v>
      </c>
      <c r="U8" s="7">
        <f>$B8 * IFERROR(VLOOKUP("electricity|PM25|Asthma symptoms wheeze", US_national_yearly!$D:$AM, 29, FALSE) / VLOOKUP("electricity|PM25|Asthma symptoms wheeze", US_national_yearly!$D:$AM, 10, FALSE), 1)</f>
        <v>4.926081528305961E-2</v>
      </c>
      <c r="V8" s="7">
        <f>$B8 * IFERROR(VLOOKUP("electricity|PM25|Asthma symptoms wheeze", US_national_yearly!$D:$AM, 30, FALSE) / VLOOKUP("electricity|PM25|Asthma symptoms wheeze", US_national_yearly!$D:$AM, 10, FALSE), 1)</f>
        <v>4.926081528305961E-2</v>
      </c>
      <c r="W8" s="7">
        <f>$B8 * IFERROR(VLOOKUP("electricity|PM25|Asthma symptoms wheeze", US_national_yearly!$D:$AM, 31, FALSE) / VLOOKUP("electricity|PM25|Asthma symptoms wheeze", US_national_yearly!$D:$AM, 10, FALSE), 1)</f>
        <v>4.926081528305961E-2</v>
      </c>
      <c r="X8" s="7">
        <f>$B8 * IFERROR(VLOOKUP("electricity|PM25|Asthma symptoms wheeze", US_national_yearly!$D:$AM, 32, FALSE) / VLOOKUP("electricity|PM25|Asthma symptoms wheeze", US_national_yearly!$D:$AM, 10, FALSE), 1)</f>
        <v>4.926081528305961E-2</v>
      </c>
      <c r="Y8" s="7">
        <f>$B8 * IFERROR(VLOOKUP("electricity|PM25|Asthma symptoms wheeze", US_national_yearly!$D:$AM, 33, FALSE) / VLOOKUP("electricity|PM25|Asthma symptoms wheeze", US_national_yearly!$D:$AM, 10, FALSE), 1)</f>
        <v>4.926081528305961E-2</v>
      </c>
      <c r="Z8" s="7">
        <f>$B8 * IFERROR(VLOOKUP("electricity|PM25|Asthma symptoms wheeze", US_national_yearly!$D:$AM, 34, FALSE) / VLOOKUP("electricity|PM25|Asthma symptoms wheeze", US_national_yearly!$D:$AM, 10, FALSE), 1)</f>
        <v>4.926081528305961E-2</v>
      </c>
      <c r="AA8" s="7">
        <f>$B8 * IFERROR(VLOOKUP("electricity|PM25|Asthma symptoms wheeze", US_national_yearly!$D:$AM, 35, FALSE) / VLOOKUP("electricity|PM25|Asthma symptoms wheeze", US_national_yearly!$D:$AM, 10, FALSE), 1)</f>
        <v>4.926081528305961E-2</v>
      </c>
      <c r="AB8" s="7">
        <f>$B8 * IFERROR(VLOOKUP("electricity|PM25|Asthma symptoms wheeze", US_national_yearly!$D:$AM, 36, FALSE) / VLOOKUP("electricity|PM25|Asthma symptoms wheeze", US_national_yearly!$D:$AM, 10, FALSE), 1)</f>
        <v>4.926081528305961E-2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7.0421749899267946E-4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7.0808779263461553E-4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7.119580862765515E-4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7.1582837991848768E-4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7.1969867356042364E-4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7.2384753320997412E-4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7.2799639285952449E-4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7.3170297511337349E-4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7.3540955736722238E-4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7.3911613962107127E-4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7.4282272187492005E-4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7.4652930412876905E-4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7.4902952547724203E-4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7.5152974682571501E-4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7.5402996817418798E-4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7.5653018952266085E-4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7.5903041087113394E-4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7.6136026750734298E-4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7.636901241435517E-4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7.6601998077976052E-4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7.6834983741596945E-4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7.7067969405217817E-4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7.7298347857797346E-4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7.7528726310376874E-4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7.7759104762956392E-4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7.798948321553591E-4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7.821986166811545E-4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4.444371900267371E-3</v>
      </c>
      <c r="C13" s="7">
        <f>$B13 * IFERROR(VLOOKUP("electricity|PM25|Non-fatal heart attacks", US_national_yearly!$D:$AM, 11, FALSE) / VLOOKUP("electricity|PM25|Non-fatal heart attacks", US_national_yearly!$D:$AM, 10, FALSE), 1)</f>
        <v>4.57310234047125E-3</v>
      </c>
      <c r="D13" s="7">
        <f>$B13 * IFERROR(VLOOKUP("electricity|PM25|Non-fatal heart attacks", US_national_yearly!$D:$AM, 12, FALSE) / VLOOKUP("electricity|PM25|Non-fatal heart attacks", US_national_yearly!$D:$AM, 10, FALSE), 1)</f>
        <v>4.7018327806751291E-3</v>
      </c>
      <c r="E13" s="7">
        <f>$B13 * IFERROR(VLOOKUP("electricity|PM25|Non-fatal heart attacks", US_national_yearly!$D:$AM, 13, FALSE) / VLOOKUP("electricity|PM25|Non-fatal heart attacks", US_national_yearly!$D:$AM, 10, FALSE), 1)</f>
        <v>4.8305632208790073E-3</v>
      </c>
      <c r="F13" s="7">
        <f>$B13 * IFERROR(VLOOKUP("electricity|PM25|Non-fatal heart attacks", US_national_yearly!$D:$AM, 14, FALSE) / VLOOKUP("electricity|PM25|Non-fatal heart attacks", US_national_yearly!$D:$AM, 10, FALSE), 1)</f>
        <v>4.9592936610828873E-3</v>
      </c>
      <c r="G13" s="7">
        <f>$B13 * IFERROR(VLOOKUP("electricity|PM25|Non-fatal heart attacks", US_national_yearly!$D:$AM, 15, FALSE) / VLOOKUP("electricity|PM25|Non-fatal heart attacks", US_national_yearly!$D:$AM, 10, FALSE), 1)</f>
        <v>5.0814803462825393E-3</v>
      </c>
      <c r="H13" s="7">
        <f>$B13 * IFERROR(VLOOKUP("electricity|PM25|Non-fatal heart attacks", US_national_yearly!$D:$AM, 16, FALSE) / VLOOKUP("electricity|PM25|Non-fatal heart attacks", US_national_yearly!$D:$AM, 10, FALSE), 1)</f>
        <v>5.2036670314821905E-3</v>
      </c>
      <c r="I13" s="7">
        <f>$B13 * IFERROR(VLOOKUP("electricity|PM25|Non-fatal heart attacks", US_national_yearly!$D:$AM, 17, FALSE) / VLOOKUP("electricity|PM25|Non-fatal heart attacks", US_national_yearly!$D:$AM, 10, FALSE), 1)</f>
        <v>5.3033569417837712E-3</v>
      </c>
      <c r="J13" s="7">
        <f>$B13 * IFERROR(VLOOKUP("electricity|PM25|Non-fatal heart attacks", US_national_yearly!$D:$AM, 18, FALSE) / VLOOKUP("electricity|PM25|Non-fatal heart attacks", US_national_yearly!$D:$AM, 10, FALSE), 1)</f>
        <v>5.403046852085351E-3</v>
      </c>
      <c r="K13" s="7">
        <f>$B13 * IFERROR(VLOOKUP("electricity|PM25|Non-fatal heart attacks", US_national_yearly!$D:$AM, 19, FALSE) / VLOOKUP("electricity|PM25|Non-fatal heart attacks", US_national_yearly!$D:$AM, 10, FALSE), 1)</f>
        <v>5.5027367623869308E-3</v>
      </c>
      <c r="L13" s="7">
        <f>$B13 * IFERROR(VLOOKUP("electricity|PM25|Non-fatal heart attacks", US_national_yearly!$D:$AM, 20, FALSE) / VLOOKUP("electricity|PM25|Non-fatal heart attacks", US_national_yearly!$D:$AM, 10, FALSE), 1)</f>
        <v>5.6024266726885106E-3</v>
      </c>
      <c r="M13" s="7">
        <f>$B13 * IFERROR(VLOOKUP("electricity|PM25|Non-fatal heart attacks", US_national_yearly!$D:$AM, 21, FALSE) / VLOOKUP("electricity|PM25|Non-fatal heart attacks", US_national_yearly!$D:$AM, 10, FALSE), 1)</f>
        <v>5.7021165829900921E-3</v>
      </c>
      <c r="N13" s="7">
        <f>$B13 * IFERROR(VLOOKUP("electricity|PM25|Non-fatal heart attacks", US_national_yearly!$D:$AM, 22, FALSE) / VLOOKUP("electricity|PM25|Non-fatal heart attacks", US_national_yearly!$D:$AM, 10, FALSE), 1)</f>
        <v>5.7668024655227936E-3</v>
      </c>
      <c r="O13" s="7">
        <f>$B13 * IFERROR(VLOOKUP("electricity|PM25|Non-fatal heart attacks", US_national_yearly!$D:$AM, 23, FALSE) / VLOOKUP("electricity|PM25|Non-fatal heart attacks", US_national_yearly!$D:$AM, 10, FALSE), 1)</f>
        <v>5.831488348055496E-3</v>
      </c>
      <c r="P13" s="7">
        <f>$B13 * IFERROR(VLOOKUP("electricity|PM25|Non-fatal heart attacks", US_national_yearly!$D:$AM, 24, FALSE) / VLOOKUP("electricity|PM25|Non-fatal heart attacks", US_national_yearly!$D:$AM, 10, FALSE), 1)</f>
        <v>5.8961742305881967E-3</v>
      </c>
      <c r="Q13" s="7">
        <f>$B13 * IFERROR(VLOOKUP("electricity|PM25|Non-fatal heart attacks", US_national_yearly!$D:$AM, 25, FALSE) / VLOOKUP("electricity|PM25|Non-fatal heart attacks", US_national_yearly!$D:$AM, 10, FALSE), 1)</f>
        <v>5.9608601131208982E-3</v>
      </c>
      <c r="R13" s="7">
        <f>$B13 * IFERROR(VLOOKUP("electricity|PM25|Non-fatal heart attacks", US_national_yearly!$D:$AM, 26, FALSE) / VLOOKUP("electricity|PM25|Non-fatal heart attacks", US_national_yearly!$D:$AM, 10, FALSE), 1)</f>
        <v>6.0255459956535997E-3</v>
      </c>
      <c r="S13" s="7">
        <f>$B13 * IFERROR(VLOOKUP("electricity|PM25|Non-fatal heart attacks", US_national_yearly!$D:$AM, 27, FALSE) / VLOOKUP("electricity|PM25|Non-fatal heart attacks", US_national_yearly!$D:$AM, 10, FALSE), 1)</f>
        <v>6.0611572357811647E-3</v>
      </c>
      <c r="T13" s="7">
        <f>$B13 * IFERROR(VLOOKUP("electricity|PM25|Non-fatal heart attacks", US_national_yearly!$D:$AM, 28, FALSE) / VLOOKUP("electricity|PM25|Non-fatal heart attacks", US_national_yearly!$D:$AM, 10, FALSE), 1)</f>
        <v>6.0967684759087315E-3</v>
      </c>
      <c r="U13" s="7">
        <f>$B13 * IFERROR(VLOOKUP("electricity|PM25|Non-fatal heart attacks", US_national_yearly!$D:$AM, 29, FALSE) / VLOOKUP("electricity|PM25|Non-fatal heart attacks", US_national_yearly!$D:$AM, 10, FALSE), 1)</f>
        <v>6.1323797160362965E-3</v>
      </c>
      <c r="V13" s="7">
        <f>$B13 * IFERROR(VLOOKUP("electricity|PM25|Non-fatal heart attacks", US_national_yearly!$D:$AM, 30, FALSE) / VLOOKUP("electricity|PM25|Non-fatal heart attacks", US_national_yearly!$D:$AM, 10, FALSE), 1)</f>
        <v>6.1679909561638624E-3</v>
      </c>
      <c r="W13" s="7">
        <f>$B13 * IFERROR(VLOOKUP("electricity|PM25|Non-fatal heart attacks", US_national_yearly!$D:$AM, 31, FALSE) / VLOOKUP("electricity|PM25|Non-fatal heart attacks", US_national_yearly!$D:$AM, 10, FALSE), 1)</f>
        <v>6.2036021962914283E-3</v>
      </c>
      <c r="X13" s="7">
        <f>$B13 * IFERROR(VLOOKUP("electricity|PM25|Non-fatal heart attacks", US_national_yearly!$D:$AM, 32, FALSE) / VLOOKUP("electricity|PM25|Non-fatal heart attacks", US_national_yearly!$D:$AM, 10, FALSE), 1)</f>
        <v>6.231461431587172E-3</v>
      </c>
      <c r="Y13" s="7">
        <f>$B13 * IFERROR(VLOOKUP("electricity|PM25|Non-fatal heart attacks", US_national_yearly!$D:$AM, 33, FALSE) / VLOOKUP("electricity|PM25|Non-fatal heart attacks", US_national_yearly!$D:$AM, 10, FALSE), 1)</f>
        <v>6.2593206668829166E-3</v>
      </c>
      <c r="Z13" s="7">
        <f>$B13 * IFERROR(VLOOKUP("electricity|PM25|Non-fatal heart attacks", US_national_yearly!$D:$AM, 34, FALSE) / VLOOKUP("electricity|PM25|Non-fatal heart attacks", US_national_yearly!$D:$AM, 10, FALSE), 1)</f>
        <v>6.2871799021786611E-3</v>
      </c>
      <c r="AA13" s="7">
        <f>$B13 * IFERROR(VLOOKUP("electricity|PM25|Non-fatal heart attacks", US_national_yearly!$D:$AM, 35, FALSE) / VLOOKUP("electricity|PM25|Non-fatal heart attacks", US_national_yearly!$D:$AM, 10, FALSE), 1)</f>
        <v>6.3150391374744066E-3</v>
      </c>
      <c r="AB13" s="7">
        <f>$B13 * IFERROR(VLOOKUP("electricity|PM25|Non-fatal heart attacks", US_national_yearly!$D:$AM, 36, FALSE) / VLOOKUP("electricity|PM25|Non-fatal heart attacks", US_national_yearly!$D:$AM, 10, FALSE), 1)</f>
        <v>6.3428983727701503E-3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3.0004546144546036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3.0071154220153251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3.0137762295760475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3.0204370371367695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3.0270978446974914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3.0369817113042132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3.046865577910935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3.0643177949323879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3.0817700119538416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3.0992222289752944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3.1166744459967481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3.134126663018201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3.1583379213148044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3.1825491796114083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3.2067604379080126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3.2309716962046164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3.2551829545012199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3.2796030471771953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3.3040231398531703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3.3284432325291453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3.3528633252051208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3.3772834178810958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3.3982165345107629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3.4191496511404305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3.440082767770098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3.4610158843997647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3.4819490010294327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0.50529603324309214</v>
      </c>
      <c r="C15" s="7">
        <f>$B15 * IFERROR(VLOOKUP("electricity|PM25|Work loss days", US_national_yearly!$D:$AM, 11, FALSE) / VLOOKUP("electricity|PM25|Work loss days", US_national_yearly!$D:$AM, 10, FALSE), 1)</f>
        <v>0.50674196705079311</v>
      </c>
      <c r="D15" s="7">
        <f>$B15 * IFERROR(VLOOKUP("electricity|PM25|Work loss days", US_national_yearly!$D:$AM, 12, FALSE) / VLOOKUP("electricity|PM25|Work loss days", US_national_yearly!$D:$AM, 10, FALSE), 1)</f>
        <v>0.50818790085849408</v>
      </c>
      <c r="E15" s="7">
        <f>$B15 * IFERROR(VLOOKUP("electricity|PM25|Work loss days", US_national_yearly!$D:$AM, 13, FALSE) / VLOOKUP("electricity|PM25|Work loss days", US_national_yearly!$D:$AM, 10, FALSE), 1)</f>
        <v>0.50963383466619505</v>
      </c>
      <c r="F15" s="7">
        <f>$B15 * IFERROR(VLOOKUP("electricity|PM25|Work loss days", US_national_yearly!$D:$AM, 14, FALSE) / VLOOKUP("electricity|PM25|Work loss days", US_national_yearly!$D:$AM, 10, FALSE), 1)</f>
        <v>0.51107976847389591</v>
      </c>
      <c r="G15" s="7">
        <f>$B15 * IFERROR(VLOOKUP("electricity|PM25|Work loss days", US_national_yearly!$D:$AM, 15, FALSE) / VLOOKUP("electricity|PM25|Work loss days", US_national_yearly!$D:$AM, 10, FALSE), 1)</f>
        <v>0.51295290149498318</v>
      </c>
      <c r="H15" s="7">
        <f>$B15 * IFERROR(VLOOKUP("electricity|PM25|Work loss days", US_national_yearly!$D:$AM, 16, FALSE) / VLOOKUP("electricity|PM25|Work loss days", US_national_yearly!$D:$AM, 10, FALSE), 1)</f>
        <v>0.51482603451607045</v>
      </c>
      <c r="I15" s="7">
        <f>$B15 * IFERROR(VLOOKUP("electricity|PM25|Work loss days", US_national_yearly!$D:$AM, 17, FALSE) / VLOOKUP("electricity|PM25|Work loss days", US_national_yearly!$D:$AM, 10, FALSE), 1)</f>
        <v>0.51764197015872337</v>
      </c>
      <c r="J15" s="7">
        <f>$B15 * IFERROR(VLOOKUP("electricity|PM25|Work loss days", US_national_yearly!$D:$AM, 18, FALSE) / VLOOKUP("electricity|PM25|Work loss days", US_national_yearly!$D:$AM, 10, FALSE), 1)</f>
        <v>0.52045790580137619</v>
      </c>
      <c r="K15" s="7">
        <f>$B15 * IFERROR(VLOOKUP("electricity|PM25|Work loss days", US_national_yearly!$D:$AM, 19, FALSE) / VLOOKUP("electricity|PM25|Work loss days", US_national_yearly!$D:$AM, 10, FALSE), 1)</f>
        <v>0.52327384144402911</v>
      </c>
      <c r="L15" s="7">
        <f>$B15 * IFERROR(VLOOKUP("electricity|PM25|Work loss days", US_national_yearly!$D:$AM, 20, FALSE) / VLOOKUP("electricity|PM25|Work loss days", US_national_yearly!$D:$AM, 10, FALSE), 1)</f>
        <v>0.52608977708668192</v>
      </c>
      <c r="M15" s="7">
        <f>$B15 * IFERROR(VLOOKUP("electricity|PM25|Work loss days", US_national_yearly!$D:$AM, 21, FALSE) / VLOOKUP("electricity|PM25|Work loss days", US_national_yearly!$D:$AM, 10, FALSE), 1)</f>
        <v>0.52890571272933484</v>
      </c>
      <c r="N15" s="7">
        <f>$B15 * IFERROR(VLOOKUP("electricity|PM25|Work loss days", US_national_yearly!$D:$AM, 22, FALSE) / VLOOKUP("electricity|PM25|Work loss days", US_national_yearly!$D:$AM, 10, FALSE), 1)</f>
        <v>0.53254128113322363</v>
      </c>
      <c r="O15" s="7">
        <f>$B15 * IFERROR(VLOOKUP("electricity|PM25|Work loss days", US_national_yearly!$D:$AM, 23, FALSE) / VLOOKUP("electricity|PM25|Work loss days", US_national_yearly!$D:$AM, 10, FALSE), 1)</f>
        <v>0.53617684953711242</v>
      </c>
      <c r="P15" s="7">
        <f>$B15 * IFERROR(VLOOKUP("electricity|PM25|Work loss days", US_national_yearly!$D:$AM, 24, FALSE) / VLOOKUP("electricity|PM25|Work loss days", US_national_yearly!$D:$AM, 10, FALSE), 1)</f>
        <v>0.53981241794100121</v>
      </c>
      <c r="Q15" s="7">
        <f>$B15 * IFERROR(VLOOKUP("electricity|PM25|Work loss days", US_national_yearly!$D:$AM, 25, FALSE) / VLOOKUP("electricity|PM25|Work loss days", US_national_yearly!$D:$AM, 10, FALSE), 1)</f>
        <v>0.54344798634488989</v>
      </c>
      <c r="R15" s="7">
        <f>$B15 * IFERROR(VLOOKUP("electricity|PM25|Work loss days", US_national_yearly!$D:$AM, 26, FALSE) / VLOOKUP("electricity|PM25|Work loss days", US_national_yearly!$D:$AM, 10, FALSE), 1)</f>
        <v>0.54708355474877868</v>
      </c>
      <c r="S15" s="7">
        <f>$B15 * IFERROR(VLOOKUP("electricity|PM25|Work loss days", US_national_yearly!$D:$AM, 27, FALSE) / VLOOKUP("electricity|PM25|Work loss days", US_national_yearly!$D:$AM, 10, FALSE), 1)</f>
        <v>0.55111775190319801</v>
      </c>
      <c r="T15" s="7">
        <f>$B15 * IFERROR(VLOOKUP("electricity|PM25|Work loss days", US_national_yearly!$D:$AM, 28, FALSE) / VLOOKUP("electricity|PM25|Work loss days", US_national_yearly!$D:$AM, 10, FALSE), 1)</f>
        <v>0.55515194905761733</v>
      </c>
      <c r="U15" s="7">
        <f>$B15 * IFERROR(VLOOKUP("electricity|PM25|Work loss days", US_national_yearly!$D:$AM, 29, FALSE) / VLOOKUP("electricity|PM25|Work loss days", US_national_yearly!$D:$AM, 10, FALSE), 1)</f>
        <v>0.55918614621203677</v>
      </c>
      <c r="V15" s="7">
        <f>$B15 * IFERROR(VLOOKUP("electricity|PM25|Work loss days", US_national_yearly!$D:$AM, 30, FALSE) / VLOOKUP("electricity|PM25|Work loss days", US_national_yearly!$D:$AM, 10, FALSE), 1)</f>
        <v>0.56322034336645621</v>
      </c>
      <c r="W15" s="7">
        <f>$B15 * IFERROR(VLOOKUP("electricity|PM25|Work loss days", US_national_yearly!$D:$AM, 31, FALSE) / VLOOKUP("electricity|PM25|Work loss days", US_national_yearly!$D:$AM, 10, FALSE), 1)</f>
        <v>0.56725454052087543</v>
      </c>
      <c r="X15" s="7">
        <f>$B15 * IFERROR(VLOOKUP("electricity|PM25|Work loss days", US_national_yearly!$D:$AM, 32, FALSE) / VLOOKUP("electricity|PM25|Work loss days", US_national_yearly!$D:$AM, 10, FALSE), 1)</f>
        <v>0.57081336436424512</v>
      </c>
      <c r="Y15" s="7">
        <f>$B15 * IFERROR(VLOOKUP("electricity|PM25|Work loss days", US_national_yearly!$D:$AM, 33, FALSE) / VLOOKUP("electricity|PM25|Work loss days", US_national_yearly!$D:$AM, 10, FALSE), 1)</f>
        <v>0.57437218820761449</v>
      </c>
      <c r="Z15" s="7">
        <f>$B15 * IFERROR(VLOOKUP("electricity|PM25|Work loss days", US_national_yearly!$D:$AM, 34, FALSE) / VLOOKUP("electricity|PM25|Work loss days", US_national_yearly!$D:$AM, 10, FALSE), 1)</f>
        <v>0.57793101205098396</v>
      </c>
      <c r="AA15" s="7">
        <f>$B15 * IFERROR(VLOOKUP("electricity|PM25|Work loss days", US_national_yearly!$D:$AM, 35, FALSE) / VLOOKUP("electricity|PM25|Work loss days", US_national_yearly!$D:$AM, 10, FALSE), 1)</f>
        <v>0.58148983589435355</v>
      </c>
      <c r="AB15" s="7">
        <f>$B15 * IFERROR(VLOOKUP("electricity|PM25|Work loss days", US_national_yearly!$D:$AM, 36, FALSE) / VLOOKUP("electricity|PM25|Work loss days", US_national_yearly!$D:$AM, 10, FALSE), 1)</f>
        <v>0.58504865973772313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1.0045785348873745E-3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1.0343893116602208E-3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1.064200088433067E-3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1.0940108652059133E-3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1.1238216419787595E-3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1.1525740899279639E-3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1.1813265378771683E-3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1.2062341934183417E-3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1.2311418489595152E-3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1.2560495045006884E-3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1.2809571600418618E-3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1.305864815583035E-3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1.3226083125385459E-3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1.3393518094940565E-3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1.3560953064495674E-3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1.3728388034050783E-3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1.3895823003605889E-3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1.3988230586798446E-3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1.4080638169990999E-3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1.4173045753183558E-3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1.4265453336376112E-3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1.4357860919568667E-3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1.4422329453974674E-3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1.448679798838068E-3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1.4551266522786687E-3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1.4615735057192697E-3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1.4680203591598705E-3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3.9103798160637551E-4</v>
      </c>
      <c r="C2" s="7">
        <f>$B2 * IFERROR(VLOOKUP("electricity|NOx|Premature mortality", US_national_yearly!$D:$AM, 11, FALSE) / VLOOKUP("electricity|NOx|Premature mortality", US_national_yearly!$D:$AM, 10, FALSE), 1)</f>
        <v>3.9695463407178236E-4</v>
      </c>
      <c r="D2" s="7">
        <f>$B2 * IFERROR(VLOOKUP("electricity|NOx|Premature mortality", US_national_yearly!$D:$AM, 12, FALSE) / VLOOKUP("electricity|NOx|Premature mortality", US_national_yearly!$D:$AM, 10, FALSE), 1)</f>
        <v>4.0287128653718928E-4</v>
      </c>
      <c r="E2" s="7">
        <f>$B2 * IFERROR(VLOOKUP("electricity|NOx|Premature mortality", US_national_yearly!$D:$AM, 13, FALSE) / VLOOKUP("electricity|NOx|Premature mortality", US_national_yearly!$D:$AM, 10, FALSE), 1)</f>
        <v>4.0878793900259614E-4</v>
      </c>
      <c r="F2" s="7">
        <f>$B2 * IFERROR(VLOOKUP("electricity|NOx|Premature mortality", US_national_yearly!$D:$AM, 14, FALSE) / VLOOKUP("electricity|NOx|Premature mortality", US_national_yearly!$D:$AM, 10, FALSE), 1)</f>
        <v>4.1470459146800294E-4</v>
      </c>
      <c r="G2" s="7">
        <f>$B2 * IFERROR(VLOOKUP("electricity|NOx|Premature mortality", US_national_yearly!$D:$AM, 15, FALSE) / VLOOKUP("electricity|NOx|Premature mortality", US_national_yearly!$D:$AM, 10, FALSE), 1)</f>
        <v>4.2527391182365433E-4</v>
      </c>
      <c r="H2" s="7">
        <f>$B2 * IFERROR(VLOOKUP("electricity|NOx|Premature mortality", US_national_yearly!$D:$AM, 16, FALSE) / VLOOKUP("electricity|NOx|Premature mortality", US_national_yearly!$D:$AM, 10, FALSE), 1)</f>
        <v>4.3584323217930556E-4</v>
      </c>
      <c r="I2" s="7">
        <f>$B2 * IFERROR(VLOOKUP("electricity|NOx|Premature mortality", US_national_yearly!$D:$AM, 17, FALSE) / VLOOKUP("electricity|NOx|Premature mortality", US_national_yearly!$D:$AM, 10, FALSE), 1)</f>
        <v>4.4286697968838119E-4</v>
      </c>
      <c r="J2" s="7">
        <f>$B2 * IFERROR(VLOOKUP("electricity|NOx|Premature mortality", US_national_yearly!$D:$AM, 18, FALSE) / VLOOKUP("electricity|NOx|Premature mortality", US_national_yearly!$D:$AM, 10, FALSE), 1)</f>
        <v>4.4989072719745692E-4</v>
      </c>
      <c r="K2" s="7">
        <f>$B2 * IFERROR(VLOOKUP("electricity|NOx|Premature mortality", US_national_yearly!$D:$AM, 19, FALSE) / VLOOKUP("electricity|NOx|Premature mortality", US_national_yearly!$D:$AM, 10, FALSE), 1)</f>
        <v>4.5691447470653254E-4</v>
      </c>
      <c r="L2" s="7">
        <f>$B2 * IFERROR(VLOOKUP("electricity|NOx|Premature mortality", US_national_yearly!$D:$AM, 20, FALSE) / VLOOKUP("electricity|NOx|Premature mortality", US_national_yearly!$D:$AM, 10, FALSE), 1)</f>
        <v>4.6393822221560817E-4</v>
      </c>
      <c r="M2" s="7">
        <f>$B2 * IFERROR(VLOOKUP("electricity|NOx|Premature mortality", US_national_yearly!$D:$AM, 21, FALSE) / VLOOKUP("electricity|NOx|Premature mortality", US_national_yearly!$D:$AM, 10, FALSE), 1)</f>
        <v>4.7096196972468379E-4</v>
      </c>
      <c r="N2" s="7">
        <f>$B2 * IFERROR(VLOOKUP("electricity|NOx|Premature mortality", US_national_yearly!$D:$AM, 22, FALSE) / VLOOKUP("electricity|NOx|Premature mortality", US_national_yearly!$D:$AM, 10, FALSE), 1)</f>
        <v>4.7638160290746539E-4</v>
      </c>
      <c r="O2" s="7">
        <f>$B2 * IFERROR(VLOOKUP("electricity|NOx|Premature mortality", US_national_yearly!$D:$AM, 23, FALSE) / VLOOKUP("electricity|NOx|Premature mortality", US_national_yearly!$D:$AM, 10, FALSE), 1)</f>
        <v>4.8180123609024709E-4</v>
      </c>
      <c r="P2" s="7">
        <f>$B2 * IFERROR(VLOOKUP("electricity|NOx|Premature mortality", US_national_yearly!$D:$AM, 24, FALSE) / VLOOKUP("electricity|NOx|Premature mortality", US_national_yearly!$D:$AM, 10, FALSE), 1)</f>
        <v>4.8722086927302868E-4</v>
      </c>
      <c r="Q2" s="7">
        <f>$B2 * IFERROR(VLOOKUP("electricity|NOx|Premature mortality", US_national_yearly!$D:$AM, 25, FALSE) / VLOOKUP("electricity|NOx|Premature mortality", US_national_yearly!$D:$AM, 10, FALSE), 1)</f>
        <v>4.9264050245581028E-4</v>
      </c>
      <c r="R2" s="7">
        <f>$B2 * IFERROR(VLOOKUP("electricity|NOx|Premature mortality", US_national_yearly!$D:$AM, 26, FALSE) / VLOOKUP("electricity|NOx|Premature mortality", US_national_yearly!$D:$AM, 10, FALSE), 1)</f>
        <v>4.9806013563859187E-4</v>
      </c>
      <c r="S2" s="7">
        <f>$B2 * IFERROR(VLOOKUP("electricity|NOx|Premature mortality", US_national_yearly!$D:$AM, 27, FALSE) / VLOOKUP("electricity|NOx|Premature mortality", US_national_yearly!$D:$AM, 10, FALSE), 1)</f>
        <v>5.0086068702799927E-4</v>
      </c>
      <c r="T2" s="7">
        <f>$B2 * IFERROR(VLOOKUP("electricity|NOx|Premature mortality", US_national_yearly!$D:$AM, 28, FALSE) / VLOOKUP("electricity|NOx|Premature mortality", US_national_yearly!$D:$AM, 10, FALSE), 1)</f>
        <v>5.0366123841740656E-4</v>
      </c>
      <c r="U2" s="7">
        <f>$B2 * IFERROR(VLOOKUP("electricity|NOx|Premature mortality", US_national_yearly!$D:$AM, 29, FALSE) / VLOOKUP("electricity|NOx|Premature mortality", US_national_yearly!$D:$AM, 10, FALSE), 1)</f>
        <v>5.0646178980681407E-4</v>
      </c>
      <c r="V2" s="7">
        <f>$B2 * IFERROR(VLOOKUP("electricity|NOx|Premature mortality", US_national_yearly!$D:$AM, 30, FALSE) / VLOOKUP("electricity|NOx|Premature mortality", US_national_yearly!$D:$AM, 10, FALSE), 1)</f>
        <v>5.0926234119622147E-4</v>
      </c>
      <c r="W2" s="7">
        <f>$B2 * IFERROR(VLOOKUP("electricity|NOx|Premature mortality", US_national_yearly!$D:$AM, 31, FALSE) / VLOOKUP("electricity|NOx|Premature mortality", US_national_yearly!$D:$AM, 10, FALSE), 1)</f>
        <v>5.1206289258562887E-4</v>
      </c>
      <c r="X2" s="7">
        <f>$B2 * IFERROR(VLOOKUP("electricity|NOx|Premature mortality", US_national_yearly!$D:$AM, 32, FALSE) / VLOOKUP("electricity|NOx|Premature mortality", US_national_yearly!$D:$AM, 10, FALSE), 1)</f>
        <v>5.1269646431256418E-4</v>
      </c>
      <c r="Y2" s="7">
        <f>$B2 * IFERROR(VLOOKUP("electricity|NOx|Premature mortality", US_national_yearly!$D:$AM, 33, FALSE) / VLOOKUP("electricity|NOx|Premature mortality", US_national_yearly!$D:$AM, 10, FALSE), 1)</f>
        <v>5.133300360394995E-4</v>
      </c>
      <c r="Z2" s="7">
        <f>$B2 * IFERROR(VLOOKUP("electricity|NOx|Premature mortality", US_national_yearly!$D:$AM, 34, FALSE) / VLOOKUP("electricity|NOx|Premature mortality", US_national_yearly!$D:$AM, 10, FALSE), 1)</f>
        <v>5.1396360776643493E-4</v>
      </c>
      <c r="AA2" s="7">
        <f>$B2 * IFERROR(VLOOKUP("electricity|NOx|Premature mortality", US_national_yearly!$D:$AM, 35, FALSE) / VLOOKUP("electricity|NOx|Premature mortality", US_national_yearly!$D:$AM, 10, FALSE), 1)</f>
        <v>5.1459717949337014E-4</v>
      </c>
      <c r="AB2" s="7">
        <f>$B2 * IFERROR(VLOOKUP("electricity|NOx|Premature mortality", US_national_yearly!$D:$AM, 36, FALSE) / VLOOKUP("electricity|NOx|Premature mortality", US_national_yearly!$D:$AM, 10, FALSE), 1)</f>
        <v>5.1523075122030556E-4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8.7956952041624045E-7</v>
      </c>
      <c r="C3" s="7">
        <f>$B3 * IFERROR(VLOOKUP("electricity|NOx|Infant mortality", US_national_yearly!$D:$AM, 11, FALSE) / VLOOKUP("electricity|NOx|Infant mortality", US_national_yearly!$D:$AM, 10, FALSE), 1)</f>
        <v>8.713406450093779E-7</v>
      </c>
      <c r="D3" s="7">
        <f>$B3 * IFERROR(VLOOKUP("electricity|NOx|Infant mortality", US_national_yearly!$D:$AM, 12, FALSE) / VLOOKUP("electricity|NOx|Infant mortality", US_national_yearly!$D:$AM, 10, FALSE), 1)</f>
        <v>8.6311176960251504E-7</v>
      </c>
      <c r="E3" s="7">
        <f>$B3 * IFERROR(VLOOKUP("electricity|NOx|Infant mortality", US_national_yearly!$D:$AM, 13, FALSE) / VLOOKUP("electricity|NOx|Infant mortality", US_national_yearly!$D:$AM, 10, FALSE), 1)</f>
        <v>8.5488289419565249E-7</v>
      </c>
      <c r="F3" s="7">
        <f>$B3 * IFERROR(VLOOKUP("electricity|NOx|Infant mortality", US_national_yearly!$D:$AM, 14, FALSE) / VLOOKUP("electricity|NOx|Infant mortality", US_national_yearly!$D:$AM, 10, FALSE), 1)</f>
        <v>8.4665401878878974E-7</v>
      </c>
      <c r="G3" s="7">
        <f>$B3 * IFERROR(VLOOKUP("electricity|NOx|Infant mortality", US_national_yearly!$D:$AM, 15, FALSE) / VLOOKUP("electricity|NOx|Infant mortality", US_national_yearly!$D:$AM, 10, FALSE), 1)</f>
        <v>5.6095023374800569E-7</v>
      </c>
      <c r="H3" s="7">
        <f>$B3 * IFERROR(VLOOKUP("electricity|NOx|Infant mortality", US_national_yearly!$D:$AM, 16, FALSE) / VLOOKUP("electricity|NOx|Infant mortality", US_national_yearly!$D:$AM, 10, FALSE), 1)</f>
        <v>2.7524644870722165E-7</v>
      </c>
      <c r="I3" s="7">
        <f>$B3 * IFERROR(VLOOKUP("electricity|NOx|Infant mortality", US_national_yearly!$D:$AM, 17, FALSE) / VLOOKUP("electricity|NOx|Infant mortality", US_national_yearly!$D:$AM, 10, FALSE), 1)</f>
        <v>2.7324470612154679E-7</v>
      </c>
      <c r="J3" s="7">
        <f>$B3 * IFERROR(VLOOKUP("electricity|NOx|Infant mortality", US_national_yearly!$D:$AM, 18, FALSE) / VLOOKUP("electricity|NOx|Infant mortality", US_national_yearly!$D:$AM, 10, FALSE), 1)</f>
        <v>2.7124296353587199E-7</v>
      </c>
      <c r="K3" s="7">
        <f>$B3 * IFERROR(VLOOKUP("electricity|NOx|Infant mortality", US_national_yearly!$D:$AM, 19, FALSE) / VLOOKUP("electricity|NOx|Infant mortality", US_national_yearly!$D:$AM, 10, FALSE), 1)</f>
        <v>2.6924122095019714E-7</v>
      </c>
      <c r="L3" s="7">
        <f>$B3 * IFERROR(VLOOKUP("electricity|NOx|Infant mortality", US_national_yearly!$D:$AM, 20, FALSE) / VLOOKUP("electricity|NOx|Infant mortality", US_national_yearly!$D:$AM, 10, FALSE), 1)</f>
        <v>2.6723947836452229E-7</v>
      </c>
      <c r="M3" s="7">
        <f>$B3 * IFERROR(VLOOKUP("electricity|NOx|Infant mortality", US_national_yearly!$D:$AM, 21, FALSE) / VLOOKUP("electricity|NOx|Infant mortality", US_national_yearly!$D:$AM, 10, FALSE), 1)</f>
        <v>2.6523773577884743E-7</v>
      </c>
      <c r="N3" s="7">
        <f>$B3 * IFERROR(VLOOKUP("electricity|NOx|Infant mortality", US_national_yearly!$D:$AM, 22, FALSE) / VLOOKUP("electricity|NOx|Infant mortality", US_national_yearly!$D:$AM, 10, FALSE), 1)</f>
        <v>2.6389355125322996E-7</v>
      </c>
      <c r="O3" s="7">
        <f>$B3 * IFERROR(VLOOKUP("electricity|NOx|Infant mortality", US_national_yearly!$D:$AM, 23, FALSE) / VLOOKUP("electricity|NOx|Infant mortality", US_national_yearly!$D:$AM, 10, FALSE), 1)</f>
        <v>2.6254936672761243E-7</v>
      </c>
      <c r="P3" s="7">
        <f>$B3 * IFERROR(VLOOKUP("electricity|NOx|Infant mortality", US_national_yearly!$D:$AM, 24, FALSE) / VLOOKUP("electricity|NOx|Infant mortality", US_national_yearly!$D:$AM, 10, FALSE), 1)</f>
        <v>2.6120518220199485E-7</v>
      </c>
      <c r="Q3" s="7">
        <f>$B3 * IFERROR(VLOOKUP("electricity|NOx|Infant mortality", US_national_yearly!$D:$AM, 25, FALSE) / VLOOKUP("electricity|NOx|Infant mortality", US_national_yearly!$D:$AM, 10, FALSE), 1)</f>
        <v>2.5986099767637732E-7</v>
      </c>
      <c r="R3" s="7">
        <f>$B3 * IFERROR(VLOOKUP("electricity|NOx|Infant mortality", US_national_yearly!$D:$AM, 26, FALSE) / VLOOKUP("electricity|NOx|Infant mortality", US_national_yearly!$D:$AM, 10, FALSE), 1)</f>
        <v>2.5851681315075984E-7</v>
      </c>
      <c r="S3" s="7">
        <f>$B3 * IFERROR(VLOOKUP("electricity|NOx|Infant mortality", US_national_yearly!$D:$AM, 27, FALSE) / VLOOKUP("electricity|NOx|Infant mortality", US_national_yearly!$D:$AM, 10, FALSE), 1)</f>
        <v>2.5692103203654729E-7</v>
      </c>
      <c r="T3" s="7">
        <f>$B3 * IFERROR(VLOOKUP("electricity|NOx|Infant mortality", US_national_yearly!$D:$AM, 28, FALSE) / VLOOKUP("electricity|NOx|Infant mortality", US_national_yearly!$D:$AM, 10, FALSE), 1)</f>
        <v>2.5532525092233473E-7</v>
      </c>
      <c r="U3" s="7">
        <f>$B3 * IFERROR(VLOOKUP("electricity|NOx|Infant mortality", US_national_yearly!$D:$AM, 29, FALSE) / VLOOKUP("electricity|NOx|Infant mortality", US_national_yearly!$D:$AM, 10, FALSE), 1)</f>
        <v>2.5372946980812223E-7</v>
      </c>
      <c r="V3" s="7">
        <f>$B3 * IFERROR(VLOOKUP("electricity|NOx|Infant mortality", US_national_yearly!$D:$AM, 30, FALSE) / VLOOKUP("electricity|NOx|Infant mortality", US_national_yearly!$D:$AM, 10, FALSE), 1)</f>
        <v>2.5213368869390973E-7</v>
      </c>
      <c r="W3" s="7">
        <f>$B3 * IFERROR(VLOOKUP("electricity|NOx|Infant mortality", US_national_yearly!$D:$AM, 31, FALSE) / VLOOKUP("electricity|NOx|Infant mortality", US_national_yearly!$D:$AM, 10, FALSE), 1)</f>
        <v>2.5053790757969717E-7</v>
      </c>
      <c r="X3" s="7">
        <f>$B3 * IFERROR(VLOOKUP("electricity|NOx|Infant mortality", US_national_yearly!$D:$AM, 32, FALSE) / VLOOKUP("electricity|NOx|Infant mortality", US_national_yearly!$D:$AM, 10, FALSE), 1)</f>
        <v>2.4889477266287962E-7</v>
      </c>
      <c r="Y3" s="7">
        <f>$B3 * IFERROR(VLOOKUP("electricity|NOx|Infant mortality", US_national_yearly!$D:$AM, 33, FALSE) / VLOOKUP("electricity|NOx|Infant mortality", US_national_yearly!$D:$AM, 10, FALSE), 1)</f>
        <v>2.4725163774606207E-7</v>
      </c>
      <c r="Z3" s="7">
        <f>$B3 * IFERROR(VLOOKUP("electricity|NOx|Infant mortality", US_national_yearly!$D:$AM, 34, FALSE) / VLOOKUP("electricity|NOx|Infant mortality", US_national_yearly!$D:$AM, 10, FALSE), 1)</f>
        <v>2.4560850282924452E-7</v>
      </c>
      <c r="AA3" s="7">
        <f>$B3 * IFERROR(VLOOKUP("electricity|NOx|Infant mortality", US_national_yearly!$D:$AM, 35, FALSE) / VLOOKUP("electricity|NOx|Infant mortality", US_national_yearly!$D:$AM, 10, FALSE), 1)</f>
        <v>2.4396536791242697E-7</v>
      </c>
      <c r="AB3" s="7">
        <f>$B3 * IFERROR(VLOOKUP("electricity|NOx|Infant mortality", US_national_yearly!$D:$AM, 36, FALSE) / VLOOKUP("electricity|NOx|Infant mortality", US_national_yearly!$D:$AM, 10, FALSE), 1)</f>
        <v>2.4232223299560937E-7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8.2197800689234109E-4</v>
      </c>
      <c r="C6" s="7">
        <f>$B6 * IFERROR(VLOOKUP("electricity|NOx|Asthma symptoms cough", US_national_yearly!$D:$AM, 11, FALSE) / VLOOKUP("electricity|NOx|Asthma symptoms cough", US_national_yearly!$D:$AM, 10, FALSE), 1)</f>
        <v>8.3326272179254075E-4</v>
      </c>
      <c r="D6" s="7">
        <f>$B6 * IFERROR(VLOOKUP("electricity|NOx|Asthma symptoms cough", US_national_yearly!$D:$AM, 12, FALSE) / VLOOKUP("electricity|NOx|Asthma symptoms cough", US_national_yearly!$D:$AM, 10, FALSE), 1)</f>
        <v>8.4454743669274063E-4</v>
      </c>
      <c r="E6" s="7">
        <f>$B6 * IFERROR(VLOOKUP("electricity|NOx|Asthma symptoms cough", US_national_yearly!$D:$AM, 13, FALSE) / VLOOKUP("electricity|NOx|Asthma symptoms cough", US_national_yearly!$D:$AM, 10, FALSE), 1)</f>
        <v>8.558321515929403E-4</v>
      </c>
      <c r="F6" s="7">
        <f>$B6 * IFERROR(VLOOKUP("electricity|NOx|Asthma symptoms cough", US_national_yearly!$D:$AM, 14, FALSE) / VLOOKUP("electricity|NOx|Asthma symptoms cough", US_national_yearly!$D:$AM, 10, FALSE), 1)</f>
        <v>8.6711686649313996E-4</v>
      </c>
      <c r="G6" s="7">
        <f>$B6 * IFERROR(VLOOKUP("electricity|NOx|Asthma symptoms cough", US_national_yearly!$D:$AM, 15, FALSE) / VLOOKUP("electricity|NOx|Asthma symptoms cough", US_national_yearly!$D:$AM, 10, FALSE), 1)</f>
        <v>8.7629193804787035E-4</v>
      </c>
      <c r="H6" s="7">
        <f>$B6 * IFERROR(VLOOKUP("electricity|NOx|Asthma symptoms cough", US_national_yearly!$D:$AM, 16, FALSE) / VLOOKUP("electricity|NOx|Asthma symptoms cough", US_national_yearly!$D:$AM, 10, FALSE), 1)</f>
        <v>8.8546700960260086E-4</v>
      </c>
      <c r="I6" s="7">
        <f>$B6 * IFERROR(VLOOKUP("electricity|NOx|Asthma symptoms cough", US_national_yearly!$D:$AM, 17, FALSE) / VLOOKUP("electricity|NOx|Asthma symptoms cough", US_national_yearly!$D:$AM, 10, FALSE), 1)</f>
        <v>8.8887773274207887E-4</v>
      </c>
      <c r="J6" s="7">
        <f>$B6 * IFERROR(VLOOKUP("electricity|NOx|Asthma symptoms cough", US_national_yearly!$D:$AM, 18, FALSE) / VLOOKUP("electricity|NOx|Asthma symptoms cough", US_national_yearly!$D:$AM, 10, FALSE), 1)</f>
        <v>8.9228845588155698E-4</v>
      </c>
      <c r="K6" s="7">
        <f>$B6 * IFERROR(VLOOKUP("electricity|NOx|Asthma symptoms cough", US_national_yearly!$D:$AM, 19, FALSE) / VLOOKUP("electricity|NOx|Asthma symptoms cough", US_national_yearly!$D:$AM, 10, FALSE), 1)</f>
        <v>8.9569917902103521E-4</v>
      </c>
      <c r="L6" s="7">
        <f>$B6 * IFERROR(VLOOKUP("electricity|NOx|Asthma symptoms cough", US_national_yearly!$D:$AM, 20, FALSE) / VLOOKUP("electricity|NOx|Asthma symptoms cough", US_national_yearly!$D:$AM, 10, FALSE), 1)</f>
        <v>8.9910990216051322E-4</v>
      </c>
      <c r="M6" s="7">
        <f>$B6 * IFERROR(VLOOKUP("electricity|NOx|Asthma symptoms cough", US_national_yearly!$D:$AM, 21, FALSE) / VLOOKUP("electricity|NOx|Asthma symptoms cough", US_national_yearly!$D:$AM, 10, FALSE), 1)</f>
        <v>9.0252062529999144E-4</v>
      </c>
      <c r="N6" s="7">
        <f>$B6 * IFERROR(VLOOKUP("electricity|NOx|Asthma symptoms cough", US_national_yearly!$D:$AM, 22, FALSE) / VLOOKUP("electricity|NOx|Asthma symptoms cough", US_national_yearly!$D:$AM, 10, FALSE), 1)</f>
        <v>9.062996781288242E-4</v>
      </c>
      <c r="O6" s="7">
        <f>$B6 * IFERROR(VLOOKUP("electricity|NOx|Asthma symptoms cough", US_national_yearly!$D:$AM, 23, FALSE) / VLOOKUP("electricity|NOx|Asthma symptoms cough", US_national_yearly!$D:$AM, 10, FALSE), 1)</f>
        <v>9.1007873095765718E-4</v>
      </c>
      <c r="P6" s="7">
        <f>$B6 * IFERROR(VLOOKUP("electricity|NOx|Asthma symptoms cough", US_national_yearly!$D:$AM, 24, FALSE) / VLOOKUP("electricity|NOx|Asthma symptoms cough", US_national_yearly!$D:$AM, 10, FALSE), 1)</f>
        <v>9.1385778378648983E-4</v>
      </c>
      <c r="Q6" s="7">
        <f>$B6 * IFERROR(VLOOKUP("electricity|NOx|Asthma symptoms cough", US_national_yearly!$D:$AM, 25, FALSE) / VLOOKUP("electricity|NOx|Asthma symptoms cough", US_national_yearly!$D:$AM, 10, FALSE), 1)</f>
        <v>9.176368366153228E-4</v>
      </c>
      <c r="R6" s="7">
        <f>$B6 * IFERROR(VLOOKUP("electricity|NOx|Asthma symptoms cough", US_national_yearly!$D:$AM, 26, FALSE) / VLOOKUP("electricity|NOx|Asthma symptoms cough", US_national_yearly!$D:$AM, 10, FALSE), 1)</f>
        <v>9.2141588944415556E-4</v>
      </c>
      <c r="S6" s="7">
        <f>$B6 * IFERROR(VLOOKUP("electricity|NOx|Asthma symptoms cough", US_national_yearly!$D:$AM, 27, FALSE) / VLOOKUP("electricity|NOx|Asthma symptoms cough", US_national_yearly!$D:$AM, 10, FALSE), 1)</f>
        <v>9.2613060585316196E-4</v>
      </c>
      <c r="T6" s="7">
        <f>$B6 * IFERROR(VLOOKUP("electricity|NOx|Asthma symptoms cough", US_national_yearly!$D:$AM, 28, FALSE) / VLOOKUP("electricity|NOx|Asthma symptoms cough", US_national_yearly!$D:$AM, 10, FALSE), 1)</f>
        <v>9.3084532226216815E-4</v>
      </c>
      <c r="U6" s="7">
        <f>$B6 * IFERROR(VLOOKUP("electricity|NOx|Asthma symptoms cough", US_national_yearly!$D:$AM, 29, FALSE) / VLOOKUP("electricity|NOx|Asthma symptoms cough", US_national_yearly!$D:$AM, 10, FALSE), 1)</f>
        <v>9.3556003867117465E-4</v>
      </c>
      <c r="V6" s="7">
        <f>$B6 * IFERROR(VLOOKUP("electricity|NOx|Asthma symptoms cough", US_national_yearly!$D:$AM, 30, FALSE) / VLOOKUP("electricity|NOx|Asthma symptoms cough", US_national_yearly!$D:$AM, 10, FALSE), 1)</f>
        <v>9.4027475508018084E-4</v>
      </c>
      <c r="W6" s="7">
        <f>$B6 * IFERROR(VLOOKUP("electricity|NOx|Asthma symptoms cough", US_national_yearly!$D:$AM, 31, FALSE) / VLOOKUP("electricity|NOx|Asthma symptoms cough", US_national_yearly!$D:$AM, 10, FALSE), 1)</f>
        <v>9.4498947148918724E-4</v>
      </c>
      <c r="X6" s="7">
        <f>$B6 * IFERROR(VLOOKUP("electricity|NOx|Asthma symptoms cough", US_national_yearly!$D:$AM, 32, FALSE) / VLOOKUP("electricity|NOx|Asthma symptoms cough", US_national_yearly!$D:$AM, 10, FALSE), 1)</f>
        <v>9.4933317118836048E-4</v>
      </c>
      <c r="Y6" s="7">
        <f>$B6 * IFERROR(VLOOKUP("electricity|NOx|Asthma symptoms cough", US_national_yearly!$D:$AM, 33, FALSE) / VLOOKUP("electricity|NOx|Asthma symptoms cough", US_national_yearly!$D:$AM, 10, FALSE), 1)</f>
        <v>9.5367687088753394E-4</v>
      </c>
      <c r="Z6" s="7">
        <f>$B6 * IFERROR(VLOOKUP("electricity|NOx|Asthma symptoms cough", US_national_yearly!$D:$AM, 34, FALSE) / VLOOKUP("electricity|NOx|Asthma symptoms cough", US_national_yearly!$D:$AM, 10, FALSE), 1)</f>
        <v>9.580205705867073E-4</v>
      </c>
      <c r="AA6" s="7">
        <f>$B6 * IFERROR(VLOOKUP("electricity|NOx|Asthma symptoms cough", US_national_yearly!$D:$AM, 35, FALSE) / VLOOKUP("electricity|NOx|Asthma symptoms cough", US_national_yearly!$D:$AM, 10, FALSE), 1)</f>
        <v>9.6236427028588065E-4</v>
      </c>
      <c r="AB6" s="7">
        <f>$B6 * IFERROR(VLOOKUP("electricity|NOx|Asthma symptoms cough", US_national_yearly!$D:$AM, 36, FALSE) / VLOOKUP("electricity|NOx|Asthma symptoms cough", US_national_yearly!$D:$AM, 10, FALSE), 1)</f>
        <v>9.66707969985054E-4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1.1069107993062191E-3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1.1221072798228296E-3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1.1373037603394404E-3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1.1525002408560509E-3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1.1676967213726614E-3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1.1800522657683759E-3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1.19240781016409E-3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1.1970008360223277E-3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1.2015938618805651E-3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1.2061868877388025E-3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1.2107799135970398E-3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1.2153729394552772E-3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1.2204619738579799E-3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1.2255510082606828E-3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1.2306400426633855E-3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1.2357290770660884E-3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1.2408181114687911E-3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1.2471671505409603E-3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1.2535161896131291E-3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1.2598652286852983E-3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1.2662142677574671E-3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1.2725633068296363E-3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1.2784127189042469E-3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1.284262130978858E-3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1.2901115430534688E-3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1.2959609551280796E-3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1.3018103672026904E-3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1.6911787399155579E-3</v>
      </c>
      <c r="C8" s="7">
        <f>$B8 * IFERROR(VLOOKUP("electricity|NOx|Asthma symptoms wheeze", US_national_yearly!$D:$AM, 11, FALSE) / VLOOKUP("electricity|NOx|Asthma symptoms wheeze", US_national_yearly!$D:$AM, 10, FALSE), 1)</f>
        <v>1.7143964778115212E-3</v>
      </c>
      <c r="D8" s="7">
        <f>$B8 * IFERROR(VLOOKUP("electricity|NOx|Asthma symptoms wheeze", US_national_yearly!$D:$AM, 12, FALSE) / VLOOKUP("electricity|NOx|Asthma symptoms wheeze", US_national_yearly!$D:$AM, 10, FALSE), 1)</f>
        <v>1.7376142157074848E-3</v>
      </c>
      <c r="E8" s="7">
        <f>$B8 * IFERROR(VLOOKUP("electricity|NOx|Asthma symptoms wheeze", US_national_yearly!$D:$AM, 13, FALSE) / VLOOKUP("electricity|NOx|Asthma symptoms wheeze", US_national_yearly!$D:$AM, 10, FALSE), 1)</f>
        <v>1.7608319536034482E-3</v>
      </c>
      <c r="F8" s="7">
        <f>$B8 * IFERROR(VLOOKUP("electricity|NOx|Asthma symptoms wheeze", US_national_yearly!$D:$AM, 14, FALSE) / VLOOKUP("electricity|NOx|Asthma symptoms wheeze", US_national_yearly!$D:$AM, 10, FALSE), 1)</f>
        <v>1.784049691499412E-3</v>
      </c>
      <c r="G8" s="7">
        <f>$B8 * IFERROR(VLOOKUP("electricity|NOx|Asthma symptoms wheeze", US_national_yearly!$D:$AM, 15, FALSE) / VLOOKUP("electricity|NOx|Asthma symptoms wheeze", US_national_yearly!$D:$AM, 10, FALSE), 1)</f>
        <v>1.8029269434611233E-3</v>
      </c>
      <c r="H8" s="7">
        <f>$B8 * IFERROR(VLOOKUP("electricity|NOx|Asthma symptoms wheeze", US_national_yearly!$D:$AM, 16, FALSE) / VLOOKUP("electricity|NOx|Asthma symptoms wheeze", US_national_yearly!$D:$AM, 10, FALSE), 1)</f>
        <v>1.8218041954228348E-3</v>
      </c>
      <c r="I8" s="7">
        <f>$B8 * IFERROR(VLOOKUP("electricity|NOx|Asthma symptoms wheeze", US_national_yearly!$D:$AM, 17, FALSE) / VLOOKUP("electricity|NOx|Asthma symptoms wheeze", US_national_yearly!$D:$AM, 10, FALSE), 1)</f>
        <v>1.8288215881050794E-3</v>
      </c>
      <c r="J8" s="7">
        <f>$B8 * IFERROR(VLOOKUP("electricity|NOx|Asthma symptoms wheeze", US_national_yearly!$D:$AM, 18, FALSE) / VLOOKUP("electricity|NOx|Asthma symptoms wheeze", US_national_yearly!$D:$AM, 10, FALSE), 1)</f>
        <v>1.8358389807873242E-3</v>
      </c>
      <c r="K8" s="7">
        <f>$B8 * IFERROR(VLOOKUP("electricity|NOx|Asthma symptoms wheeze", US_national_yearly!$D:$AM, 19, FALSE) / VLOOKUP("electricity|NOx|Asthma symptoms wheeze", US_national_yearly!$D:$AM, 10, FALSE), 1)</f>
        <v>1.8428563734695694E-3</v>
      </c>
      <c r="L8" s="7">
        <f>$B8 * IFERROR(VLOOKUP("electricity|NOx|Asthma symptoms wheeze", US_national_yearly!$D:$AM, 20, FALSE) / VLOOKUP("electricity|NOx|Asthma symptoms wheeze", US_national_yearly!$D:$AM, 10, FALSE), 1)</f>
        <v>1.849873766151814E-3</v>
      </c>
      <c r="M8" s="7">
        <f>$B8 * IFERROR(VLOOKUP("electricity|NOx|Asthma symptoms wheeze", US_national_yearly!$D:$AM, 21, FALSE) / VLOOKUP("electricity|NOx|Asthma symptoms wheeze", US_national_yearly!$D:$AM, 10, FALSE), 1)</f>
        <v>1.8568911588340588E-3</v>
      </c>
      <c r="N8" s="7">
        <f>$B8 * IFERROR(VLOOKUP("electricity|NOx|Asthma symptoms wheeze", US_national_yearly!$D:$AM, 22, FALSE) / VLOOKUP("electricity|NOx|Asthma symptoms wheeze", US_national_yearly!$D:$AM, 10, FALSE), 1)</f>
        <v>1.8646663714753048E-3</v>
      </c>
      <c r="O8" s="7">
        <f>$B8 * IFERROR(VLOOKUP("electricity|NOx|Asthma symptoms wheeze", US_national_yearly!$D:$AM, 23, FALSE) / VLOOKUP("electricity|NOx|Asthma symptoms wheeze", US_national_yearly!$D:$AM, 10, FALSE), 1)</f>
        <v>1.8724415841165514E-3</v>
      </c>
      <c r="P8" s="7">
        <f>$B8 * IFERROR(VLOOKUP("electricity|NOx|Asthma symptoms wheeze", US_national_yearly!$D:$AM, 24, FALSE) / VLOOKUP("electricity|NOx|Asthma symptoms wheeze", US_national_yearly!$D:$AM, 10, FALSE), 1)</f>
        <v>1.8802167967577979E-3</v>
      </c>
      <c r="Q8" s="7">
        <f>$B8 * IFERROR(VLOOKUP("electricity|NOx|Asthma symptoms wheeze", US_national_yearly!$D:$AM, 25, FALSE) / VLOOKUP("electricity|NOx|Asthma symptoms wheeze", US_national_yearly!$D:$AM, 10, FALSE), 1)</f>
        <v>1.8879920093990441E-3</v>
      </c>
      <c r="R8" s="7">
        <f>$B8 * IFERROR(VLOOKUP("electricity|NOx|Asthma symptoms wheeze", US_national_yearly!$D:$AM, 26, FALSE) / VLOOKUP("electricity|NOx|Asthma symptoms wheeze", US_national_yearly!$D:$AM, 10, FALSE), 1)</f>
        <v>1.8957672220402903E-3</v>
      </c>
      <c r="S8" s="7">
        <f>$B8 * IFERROR(VLOOKUP("electricity|NOx|Asthma symptoms wheeze", US_national_yearly!$D:$AM, 27, FALSE) / VLOOKUP("electricity|NOx|Asthma symptoms wheeze", US_national_yearly!$D:$AM, 10, FALSE), 1)</f>
        <v>1.9054675158161111E-3</v>
      </c>
      <c r="T8" s="7">
        <f>$B8 * IFERROR(VLOOKUP("electricity|NOx|Asthma symptoms wheeze", US_national_yearly!$D:$AM, 28, FALSE) / VLOOKUP("electricity|NOx|Asthma symptoms wheeze", US_national_yearly!$D:$AM, 10, FALSE), 1)</f>
        <v>1.9151678095919321E-3</v>
      </c>
      <c r="U8" s="7">
        <f>$B8 * IFERROR(VLOOKUP("electricity|NOx|Asthma symptoms wheeze", US_national_yearly!$D:$AM, 29, FALSE) / VLOOKUP("electricity|NOx|Asthma symptoms wheeze", US_national_yearly!$D:$AM, 10, FALSE), 1)</f>
        <v>1.9248681033677527E-3</v>
      </c>
      <c r="V8" s="7">
        <f>$B8 * IFERROR(VLOOKUP("electricity|NOx|Asthma symptoms wheeze", US_national_yearly!$D:$AM, 30, FALSE) / VLOOKUP("electricity|NOx|Asthma symptoms wheeze", US_national_yearly!$D:$AM, 10, FALSE), 1)</f>
        <v>1.9345683971435735E-3</v>
      </c>
      <c r="W8" s="7">
        <f>$B8 * IFERROR(VLOOKUP("electricity|NOx|Asthma symptoms wheeze", US_national_yearly!$D:$AM, 31, FALSE) / VLOOKUP("electricity|NOx|Asthma symptoms wheeze", US_national_yearly!$D:$AM, 10, FALSE), 1)</f>
        <v>1.9442686909193945E-3</v>
      </c>
      <c r="X8" s="7">
        <f>$B8 * IFERROR(VLOOKUP("electricity|NOx|Asthma symptoms wheeze", US_national_yearly!$D:$AM, 32, FALSE) / VLOOKUP("electricity|NOx|Asthma symptoms wheeze", US_national_yearly!$D:$AM, 10, FALSE), 1)</f>
        <v>1.953205636324732E-3</v>
      </c>
      <c r="Y8" s="7">
        <f>$B8 * IFERROR(VLOOKUP("electricity|NOx|Asthma symptoms wheeze", US_national_yearly!$D:$AM, 33, FALSE) / VLOOKUP("electricity|NOx|Asthma symptoms wheeze", US_national_yearly!$D:$AM, 10, FALSE), 1)</f>
        <v>1.96214258173007E-3</v>
      </c>
      <c r="Z8" s="7">
        <f>$B8 * IFERROR(VLOOKUP("electricity|NOx|Asthma symptoms wheeze", US_national_yearly!$D:$AM, 34, FALSE) / VLOOKUP("electricity|NOx|Asthma symptoms wheeze", US_national_yearly!$D:$AM, 10, FALSE), 1)</f>
        <v>1.9710795271354075E-3</v>
      </c>
      <c r="AA8" s="7">
        <f>$B8 * IFERROR(VLOOKUP("electricity|NOx|Asthma symptoms wheeze", US_national_yearly!$D:$AM, 35, FALSE) / VLOOKUP("electricity|NOx|Asthma symptoms wheeze", US_national_yearly!$D:$AM, 10, FALSE), 1)</f>
        <v>1.9800164725407455E-3</v>
      </c>
      <c r="AB8" s="7">
        <f>$B8 * IFERROR(VLOOKUP("electricity|NOx|Asthma symptoms wheeze", US_national_yearly!$D:$AM, 36, FALSE) / VLOOKUP("electricity|NOx|Asthma symptoms wheeze", US_national_yearly!$D:$AM, 10, FALSE), 1)</f>
        <v>1.988953417946083E-3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2.4612585639994457E-5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2.5242955067090108E-5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2.5873324494185761E-5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2.6503693921281412E-5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2.7134063348377059E-5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2.7740891178433819E-5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2.8347719008490582E-5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2.8869541019597155E-5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2.9391363030703725E-5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2.9913185041810308E-5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3.0435007052916881E-5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3.0956829064023454E-5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3.1314440240801617E-5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3.1672051417579773E-5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3.2029662594357929E-5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3.2387273771136085E-5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3.2744884947914248E-5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3.2948555922026976E-5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3.3152226896139711E-5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3.3355897870252433E-5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3.3559568844365162E-5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3.376323981847789E-5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3.3911379003843569E-5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3.4059518189209248E-5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3.4207657374574934E-5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3.4355796559940613E-5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3.4503935745306292E-5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1.5570794480938835E-4</v>
      </c>
      <c r="C13" s="7">
        <f>$B13 * IFERROR(VLOOKUP("electricity|NOx|Non-fatal heart attacks", US_national_yearly!$D:$AM, 11, FALSE) / VLOOKUP("electricity|NOx|Non-fatal heart attacks", US_national_yearly!$D:$AM, 10, FALSE), 1)</f>
        <v>1.6017633385789884E-4</v>
      </c>
      <c r="D13" s="7">
        <f>$B13 * IFERROR(VLOOKUP("electricity|NOx|Non-fatal heart attacks", US_national_yearly!$D:$AM, 12, FALSE) / VLOOKUP("electricity|NOx|Non-fatal heart attacks", US_national_yearly!$D:$AM, 10, FALSE), 1)</f>
        <v>1.6464472290640935E-4</v>
      </c>
      <c r="E13" s="7">
        <f>$B13 * IFERROR(VLOOKUP("electricity|NOx|Non-fatal heart attacks", US_national_yearly!$D:$AM, 13, FALSE) / VLOOKUP("electricity|NOx|Non-fatal heart attacks", US_national_yearly!$D:$AM, 10, FALSE), 1)</f>
        <v>1.6911311195491984E-4</v>
      </c>
      <c r="F13" s="7">
        <f>$B13 * IFERROR(VLOOKUP("electricity|NOx|Non-fatal heart attacks", US_national_yearly!$D:$AM, 14, FALSE) / VLOOKUP("electricity|NOx|Non-fatal heart attacks", US_national_yearly!$D:$AM, 10, FALSE), 1)</f>
        <v>1.7358150100343038E-4</v>
      </c>
      <c r="G13" s="7">
        <f>$B13 * IFERROR(VLOOKUP("electricity|NOx|Non-fatal heart attacks", US_national_yearly!$D:$AM, 15, FALSE) / VLOOKUP("electricity|NOx|Non-fatal heart attacks", US_national_yearly!$D:$AM, 10, FALSE), 1)</f>
        <v>1.7779089493182316E-4</v>
      </c>
      <c r="H13" s="7">
        <f>$B13 * IFERROR(VLOOKUP("electricity|NOx|Non-fatal heart attacks", US_national_yearly!$D:$AM, 16, FALSE) / VLOOKUP("electricity|NOx|Non-fatal heart attacks", US_national_yearly!$D:$AM, 10, FALSE), 1)</f>
        <v>1.8200028886021592E-4</v>
      </c>
      <c r="I13" s="7">
        <f>$B13 * IFERROR(VLOOKUP("electricity|NOx|Non-fatal heart attacks", US_national_yearly!$D:$AM, 17, FALSE) / VLOOKUP("electricity|NOx|Non-fatal heart attacks", US_national_yearly!$D:$AM, 10, FALSE), 1)</f>
        <v>1.8537579692928644E-4</v>
      </c>
      <c r="J13" s="7">
        <f>$B13 * IFERROR(VLOOKUP("electricity|NOx|Non-fatal heart attacks", US_national_yearly!$D:$AM, 18, FALSE) / VLOOKUP("electricity|NOx|Non-fatal heart attacks", US_national_yearly!$D:$AM, 10, FALSE), 1)</f>
        <v>1.8875130499835694E-4</v>
      </c>
      <c r="K13" s="7">
        <f>$B13 * IFERROR(VLOOKUP("electricity|NOx|Non-fatal heart attacks", US_national_yearly!$D:$AM, 19, FALSE) / VLOOKUP("electricity|NOx|Non-fatal heart attacks", US_national_yearly!$D:$AM, 10, FALSE), 1)</f>
        <v>1.9212681306742728E-4</v>
      </c>
      <c r="L13" s="7">
        <f>$B13 * IFERROR(VLOOKUP("electricity|NOx|Non-fatal heart attacks", US_national_yearly!$D:$AM, 20, FALSE) / VLOOKUP("electricity|NOx|Non-fatal heart attacks", US_national_yearly!$D:$AM, 10, FALSE), 1)</f>
        <v>1.9550232113649778E-4</v>
      </c>
      <c r="M13" s="7">
        <f>$B13 * IFERROR(VLOOKUP("electricity|NOx|Non-fatal heart attacks", US_national_yearly!$D:$AM, 21, FALSE) / VLOOKUP("electricity|NOx|Non-fatal heart attacks", US_national_yearly!$D:$AM, 10, FALSE), 1)</f>
        <v>1.9887782920556833E-4</v>
      </c>
      <c r="N13" s="7">
        <f>$B13 * IFERROR(VLOOKUP("electricity|NOx|Non-fatal heart attacks", US_national_yearly!$D:$AM, 22, FALSE) / VLOOKUP("electricity|NOx|Non-fatal heart attacks", US_national_yearly!$D:$AM, 10, FALSE), 1)</f>
        <v>2.0095957516620959E-4</v>
      </c>
      <c r="O13" s="7">
        <f>$B13 * IFERROR(VLOOKUP("electricity|NOx|Non-fatal heart attacks", US_national_yearly!$D:$AM, 23, FALSE) / VLOOKUP("electricity|NOx|Non-fatal heart attacks", US_national_yearly!$D:$AM, 10, FALSE), 1)</f>
        <v>2.0304132112685091E-4</v>
      </c>
      <c r="P13" s="7">
        <f>$B13 * IFERROR(VLOOKUP("electricity|NOx|Non-fatal heart attacks", US_national_yearly!$D:$AM, 24, FALSE) / VLOOKUP("electricity|NOx|Non-fatal heart attacks", US_national_yearly!$D:$AM, 10, FALSE), 1)</f>
        <v>2.051230670874922E-4</v>
      </c>
      <c r="Q13" s="7">
        <f>$B13 * IFERROR(VLOOKUP("electricity|NOx|Non-fatal heart attacks", US_national_yearly!$D:$AM, 25, FALSE) / VLOOKUP("electricity|NOx|Non-fatal heart attacks", US_national_yearly!$D:$AM, 10, FALSE), 1)</f>
        <v>2.0720481304813349E-4</v>
      </c>
      <c r="R13" s="7">
        <f>$B13 * IFERROR(VLOOKUP("electricity|NOx|Non-fatal heart attacks", US_national_yearly!$D:$AM, 26, FALSE) / VLOOKUP("electricity|NOx|Non-fatal heart attacks", US_national_yearly!$D:$AM, 10, FALSE), 1)</f>
        <v>2.092865590087748E-4</v>
      </c>
      <c r="S13" s="7">
        <f>$B13 * IFERROR(VLOOKUP("electricity|NOx|Non-fatal heart attacks", US_national_yearly!$D:$AM, 27, FALSE) / VLOOKUP("electricity|NOx|Non-fatal heart attacks", US_national_yearly!$D:$AM, 10, FALSE), 1)</f>
        <v>2.1030369314977188E-4</v>
      </c>
      <c r="T13" s="7">
        <f>$B13 * IFERROR(VLOOKUP("electricity|NOx|Non-fatal heart attacks", US_national_yearly!$D:$AM, 28, FALSE) / VLOOKUP("electricity|NOx|Non-fatal heart attacks", US_national_yearly!$D:$AM, 10, FALSE), 1)</f>
        <v>2.1132082729076893E-4</v>
      </c>
      <c r="U13" s="7">
        <f>$B13 * IFERROR(VLOOKUP("electricity|NOx|Non-fatal heart attacks", US_national_yearly!$D:$AM, 29, FALSE) / VLOOKUP("electricity|NOx|Non-fatal heart attacks", US_national_yearly!$D:$AM, 10, FALSE), 1)</f>
        <v>2.1233796143176607E-4</v>
      </c>
      <c r="V13" s="7">
        <f>$B13 * IFERROR(VLOOKUP("electricity|NOx|Non-fatal heart attacks", US_national_yearly!$D:$AM, 30, FALSE) / VLOOKUP("electricity|NOx|Non-fatal heart attacks", US_national_yearly!$D:$AM, 10, FALSE), 1)</f>
        <v>2.1335509557276312E-4</v>
      </c>
      <c r="W13" s="7">
        <f>$B13 * IFERROR(VLOOKUP("electricity|NOx|Non-fatal heart attacks", US_national_yearly!$D:$AM, 31, FALSE) / VLOOKUP("electricity|NOx|Non-fatal heart attacks", US_national_yearly!$D:$AM, 10, FALSE), 1)</f>
        <v>2.1437222971376025E-4</v>
      </c>
      <c r="X13" s="7">
        <f>$B13 * IFERROR(VLOOKUP("electricity|NOx|Non-fatal heart attacks", US_national_yearly!$D:$AM, 32, FALSE) / VLOOKUP("electricity|NOx|Non-fatal heart attacks", US_national_yearly!$D:$AM, 10, FALSE), 1)</f>
        <v>2.1508216231370735E-4</v>
      </c>
      <c r="Y13" s="7">
        <f>$B13 * IFERROR(VLOOKUP("electricity|NOx|Non-fatal heart attacks", US_national_yearly!$D:$AM, 33, FALSE) / VLOOKUP("electricity|NOx|Non-fatal heart attacks", US_national_yearly!$D:$AM, 10, FALSE), 1)</f>
        <v>2.1579209491365454E-4</v>
      </c>
      <c r="Z13" s="7">
        <f>$B13 * IFERROR(VLOOKUP("electricity|NOx|Non-fatal heart attacks", US_national_yearly!$D:$AM, 34, FALSE) / VLOOKUP("electricity|NOx|Non-fatal heart attacks", US_national_yearly!$D:$AM, 10, FALSE), 1)</f>
        <v>2.1650202751360168E-4</v>
      </c>
      <c r="AA13" s="7">
        <f>$B13 * IFERROR(VLOOKUP("electricity|NOx|Non-fatal heart attacks", US_national_yearly!$D:$AM, 35, FALSE) / VLOOKUP("electricity|NOx|Non-fatal heart attacks", US_national_yearly!$D:$AM, 10, FALSE), 1)</f>
        <v>2.1721196011354881E-4</v>
      </c>
      <c r="AB13" s="7">
        <f>$B13 * IFERROR(VLOOKUP("electricity|NOx|Non-fatal heart attacks", US_national_yearly!$D:$AM, 36, FALSE) / VLOOKUP("electricity|NOx|Non-fatal heart attacks", US_national_yearly!$D:$AM, 10, FALSE), 1)</f>
        <v>2.17921892713496E-4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0.10312833950677444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0.10328645776831671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0.10344457602985899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0.10360269429140126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0.10376081255294356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0.10403662605671039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0.10431243956047723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0.10485813470982976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0.10540382985918226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0.10594952500853479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0.10649522015788727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0.10704091530723982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0.10783003634270279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0.10861915737816576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0.10940827841362871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0.1101973994490917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0.11098652048455467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0.11178160910770918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0.11257669773086368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0.11337178635401821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0.11416687497717271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0.1149619636003272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0.11563437294931911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0.11630678229831094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0.11697919164730293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0.11765160099629479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0.11832401034528667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1.7360127969430338E-2</v>
      </c>
      <c r="C15" s="7">
        <f>$B15 * IFERROR(VLOOKUP("electricity|NOx|Work loss days", US_national_yearly!$D:$AM, 11, FALSE) / VLOOKUP("electricity|NOx|Work loss days", US_national_yearly!$D:$AM, 10, FALSE), 1)</f>
        <v>1.739884725931819E-2</v>
      </c>
      <c r="D15" s="7">
        <f>$B15 * IFERROR(VLOOKUP("electricity|NOx|Work loss days", US_national_yearly!$D:$AM, 12, FALSE) / VLOOKUP("electricity|NOx|Work loss days", US_national_yearly!$D:$AM, 10, FALSE), 1)</f>
        <v>1.7437566549206043E-2</v>
      </c>
      <c r="E15" s="7">
        <f>$B15 * IFERROR(VLOOKUP("electricity|NOx|Work loss days", US_national_yearly!$D:$AM, 13, FALSE) / VLOOKUP("electricity|NOx|Work loss days", US_national_yearly!$D:$AM, 10, FALSE), 1)</f>
        <v>1.7476285839093896E-2</v>
      </c>
      <c r="F15" s="7">
        <f>$B15 * IFERROR(VLOOKUP("electricity|NOx|Work loss days", US_national_yearly!$D:$AM, 14, FALSE) / VLOOKUP("electricity|NOx|Work loss days", US_national_yearly!$D:$AM, 10, FALSE), 1)</f>
        <v>1.7515005128981749E-2</v>
      </c>
      <c r="G15" s="7">
        <f>$B15 * IFERROR(VLOOKUP("electricity|NOx|Work loss days", US_national_yearly!$D:$AM, 15, FALSE) / VLOOKUP("electricity|NOx|Work loss days", US_national_yearly!$D:$AM, 10, FALSE), 1)</f>
        <v>1.7569590451642733E-2</v>
      </c>
      <c r="H15" s="7">
        <f>$B15 * IFERROR(VLOOKUP("electricity|NOx|Work loss days", US_national_yearly!$D:$AM, 16, FALSE) / VLOOKUP("electricity|NOx|Work loss days", US_national_yearly!$D:$AM, 10, FALSE), 1)</f>
        <v>1.7624175774303717E-2</v>
      </c>
      <c r="I15" s="7">
        <f>$B15 * IFERROR(VLOOKUP("electricity|NOx|Work loss days", US_national_yearly!$D:$AM, 17, FALSE) / VLOOKUP("electricity|NOx|Work loss days", US_national_yearly!$D:$AM, 10, FALSE), 1)</f>
        <v>1.7712807685009716E-2</v>
      </c>
      <c r="J15" s="7">
        <f>$B15 * IFERROR(VLOOKUP("electricity|NOx|Work loss days", US_national_yearly!$D:$AM, 18, FALSE) / VLOOKUP("electricity|NOx|Work loss days", US_national_yearly!$D:$AM, 10, FALSE), 1)</f>
        <v>1.7801439595715719E-2</v>
      </c>
      <c r="K15" s="7">
        <f>$B15 * IFERROR(VLOOKUP("electricity|NOx|Work loss days", US_national_yearly!$D:$AM, 19, FALSE) / VLOOKUP("electricity|NOx|Work loss days", US_national_yearly!$D:$AM, 10, FALSE), 1)</f>
        <v>1.7890071506421718E-2</v>
      </c>
      <c r="L15" s="7">
        <f>$B15 * IFERROR(VLOOKUP("electricity|NOx|Work loss days", US_national_yearly!$D:$AM, 20, FALSE) / VLOOKUP("electricity|NOx|Work loss days", US_national_yearly!$D:$AM, 10, FALSE), 1)</f>
        <v>1.7978703417127713E-2</v>
      </c>
      <c r="M15" s="7">
        <f>$B15 * IFERROR(VLOOKUP("electricity|NOx|Work loss days", US_national_yearly!$D:$AM, 21, FALSE) / VLOOKUP("electricity|NOx|Work loss days", US_national_yearly!$D:$AM, 10, FALSE), 1)</f>
        <v>1.8067335327833712E-2</v>
      </c>
      <c r="N15" s="7">
        <f>$B15 * IFERROR(VLOOKUP("electricity|NOx|Work loss days", US_national_yearly!$D:$AM, 22, FALSE) / VLOOKUP("electricity|NOx|Work loss days", US_national_yearly!$D:$AM, 10, FALSE), 1)</f>
        <v>1.8184273528776107E-2</v>
      </c>
      <c r="O15" s="7">
        <f>$B15 * IFERROR(VLOOKUP("electricity|NOx|Work loss days", US_national_yearly!$D:$AM, 23, FALSE) / VLOOKUP("electricity|NOx|Work loss days", US_national_yearly!$D:$AM, 10, FALSE), 1)</f>
        <v>1.8301211729718502E-2</v>
      </c>
      <c r="P15" s="7">
        <f>$B15 * IFERROR(VLOOKUP("electricity|NOx|Work loss days", US_national_yearly!$D:$AM, 24, FALSE) / VLOOKUP("electricity|NOx|Work loss days", US_national_yearly!$D:$AM, 10, FALSE), 1)</f>
        <v>1.8418149930660897E-2</v>
      </c>
      <c r="Q15" s="7">
        <f>$B15 * IFERROR(VLOOKUP("electricity|NOx|Work loss days", US_national_yearly!$D:$AM, 25, FALSE) / VLOOKUP("electricity|NOx|Work loss days", US_national_yearly!$D:$AM, 10, FALSE), 1)</f>
        <v>1.8535088131603296E-2</v>
      </c>
      <c r="R15" s="7">
        <f>$B15 * IFERROR(VLOOKUP("electricity|NOx|Work loss days", US_national_yearly!$D:$AM, 26, FALSE) / VLOOKUP("electricity|NOx|Work loss days", US_national_yearly!$D:$AM, 10, FALSE), 1)</f>
        <v>1.8652026332545684E-2</v>
      </c>
      <c r="S15" s="7">
        <f>$B15 * IFERROR(VLOOKUP("electricity|NOx|Work loss days", US_national_yearly!$D:$AM, 27, FALSE) / VLOOKUP("electricity|NOx|Work loss days", US_national_yearly!$D:$AM, 10, FALSE), 1)</f>
        <v>1.8783070477628554E-2</v>
      </c>
      <c r="T15" s="7">
        <f>$B15 * IFERROR(VLOOKUP("electricity|NOx|Work loss days", US_national_yearly!$D:$AM, 28, FALSE) / VLOOKUP("electricity|NOx|Work loss days", US_national_yearly!$D:$AM, 10, FALSE), 1)</f>
        <v>1.8914114622711416E-2</v>
      </c>
      <c r="U15" s="7">
        <f>$B15 * IFERROR(VLOOKUP("electricity|NOx|Work loss days", US_national_yearly!$D:$AM, 29, FALSE) / VLOOKUP("electricity|NOx|Work loss days", US_national_yearly!$D:$AM, 10, FALSE), 1)</f>
        <v>1.9045158767794283E-2</v>
      </c>
      <c r="V15" s="7">
        <f>$B15 * IFERROR(VLOOKUP("electricity|NOx|Work loss days", US_national_yearly!$D:$AM, 30, FALSE) / VLOOKUP("electricity|NOx|Work loss days", US_national_yearly!$D:$AM, 10, FALSE), 1)</f>
        <v>1.9176202912877145E-2</v>
      </c>
      <c r="W15" s="7">
        <f>$B15 * IFERROR(VLOOKUP("electricity|NOx|Work loss days", US_national_yearly!$D:$AM, 31, FALSE) / VLOOKUP("electricity|NOx|Work loss days", US_national_yearly!$D:$AM, 10, FALSE), 1)</f>
        <v>1.9307247057960015E-2</v>
      </c>
      <c r="X15" s="7">
        <f>$B15 * IFERROR(VLOOKUP("electricity|NOx|Work loss days", US_national_yearly!$D:$AM, 32, FALSE) / VLOOKUP("electricity|NOx|Work loss days", US_national_yearly!$D:$AM, 10, FALSE), 1)</f>
        <v>1.9421478806603922E-2</v>
      </c>
      <c r="Y15" s="7">
        <f>$B15 * IFERROR(VLOOKUP("electricity|NOx|Work loss days", US_national_yearly!$D:$AM, 33, FALSE) / VLOOKUP("electricity|NOx|Work loss days", US_national_yearly!$D:$AM, 10, FALSE), 1)</f>
        <v>1.9535710555247825E-2</v>
      </c>
      <c r="Z15" s="7">
        <f>$B15 * IFERROR(VLOOKUP("electricity|NOx|Work loss days", US_national_yearly!$D:$AM, 34, FALSE) / VLOOKUP("electricity|NOx|Work loss days", US_national_yearly!$D:$AM, 10, FALSE), 1)</f>
        <v>1.9649942303891731E-2</v>
      </c>
      <c r="AA15" s="7">
        <f>$B15 * IFERROR(VLOOKUP("electricity|NOx|Work loss days", US_national_yearly!$D:$AM, 35, FALSE) / VLOOKUP("electricity|NOx|Work loss days", US_national_yearly!$D:$AM, 10, FALSE), 1)</f>
        <v>1.9764174052535641E-2</v>
      </c>
      <c r="AB15" s="7">
        <f>$B15 * IFERROR(VLOOKUP("electricity|NOx|Work loss days", US_national_yearly!$D:$AM, 36, FALSE) / VLOOKUP("electricity|NOx|Work loss days", US_national_yearly!$D:$AM, 10, FALSE), 1)</f>
        <v>1.9878405801179548E-2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3.524882697543139E-5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3.6287138749683204E-5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3.7325450523935018E-5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3.8363762298186832E-5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3.9402074072438653E-5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4.039633821432712E-5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4.1390602356215595E-5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4.223925784161444E-5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4.3087913327013292E-5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4.3936568812412137E-5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4.4785224297810989E-5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4.5633879783209827E-5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4.6178523216441619E-5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4.672316664967341E-5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4.7267810082905202E-5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4.7812453516136994E-5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4.8357096949368785E-5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4.8625125581219485E-5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4.8893154213070178E-5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4.9161182844920878E-5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4.9429211476771577E-5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4.9697240108622277E-5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4.9857879848390943E-5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5.0018519588159608E-5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5.0179159327928274E-5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5.0339799067696939E-5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5.0500438807465605E-5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1.3281086362772368E-3</v>
      </c>
      <c r="C2" s="7">
        <f>$B2 * IFERROR(VLOOKUP("electricity|SO2|Premature mortality", US_national_yearly!$D:$AM, 11, FALSE) / VLOOKUP("electricity|SO2|Premature mortality", US_national_yearly!$D:$AM, 10, FALSE), 1)</f>
        <v>1.3451352953976219E-3</v>
      </c>
      <c r="D2" s="7">
        <f>$B2 * IFERROR(VLOOKUP("electricity|SO2|Premature mortality", US_national_yearly!$D:$AM, 12, FALSE) / VLOOKUP("electricity|SO2|Premature mortality", US_national_yearly!$D:$AM, 10, FALSE), 1)</f>
        <v>1.3621619545180067E-3</v>
      </c>
      <c r="E2" s="7">
        <f>$B2 * IFERROR(VLOOKUP("electricity|SO2|Premature mortality", US_national_yearly!$D:$AM, 13, FALSE) / VLOOKUP("electricity|SO2|Premature mortality", US_national_yearly!$D:$AM, 10, FALSE), 1)</f>
        <v>1.379188613638392E-3</v>
      </c>
      <c r="F2" s="7">
        <f>$B2 * IFERROR(VLOOKUP("electricity|SO2|Premature mortality", US_national_yearly!$D:$AM, 14, FALSE) / VLOOKUP("electricity|SO2|Premature mortality", US_national_yearly!$D:$AM, 10, FALSE), 1)</f>
        <v>1.3962152727587768E-3</v>
      </c>
      <c r="G2" s="7">
        <f>$B2 * IFERROR(VLOOKUP("electricity|SO2|Premature mortality", US_national_yearly!$D:$AM, 15, FALSE) / VLOOKUP("electricity|SO2|Premature mortality", US_national_yearly!$D:$AM, 10, FALSE), 1)</f>
        <v>1.4290154475429411E-3</v>
      </c>
      <c r="H2" s="7">
        <f>$B2 * IFERROR(VLOOKUP("electricity|SO2|Premature mortality", US_national_yearly!$D:$AM, 16, FALSE) / VLOOKUP("electricity|SO2|Premature mortality", US_national_yearly!$D:$AM, 10, FALSE), 1)</f>
        <v>1.4618156223271054E-3</v>
      </c>
      <c r="I2" s="7">
        <f>$B2 * IFERROR(VLOOKUP("electricity|SO2|Premature mortality", US_national_yearly!$D:$AM, 17, FALSE) / VLOOKUP("electricity|SO2|Premature mortality", US_national_yearly!$D:$AM, 10, FALSE), 1)</f>
        <v>1.4838946702000924E-3</v>
      </c>
      <c r="J2" s="7">
        <f>$B2 * IFERROR(VLOOKUP("electricity|SO2|Premature mortality", US_national_yearly!$D:$AM, 18, FALSE) / VLOOKUP("electricity|SO2|Premature mortality", US_national_yearly!$D:$AM, 10, FALSE), 1)</f>
        <v>1.5059737180730796E-3</v>
      </c>
      <c r="K2" s="7">
        <f>$B2 * IFERROR(VLOOKUP("electricity|SO2|Premature mortality", US_national_yearly!$D:$AM, 19, FALSE) / VLOOKUP("electricity|SO2|Premature mortality", US_national_yearly!$D:$AM, 10, FALSE), 1)</f>
        <v>1.5280527659460664E-3</v>
      </c>
      <c r="L2" s="7">
        <f>$B2 * IFERROR(VLOOKUP("electricity|SO2|Premature mortality", US_national_yearly!$D:$AM, 20, FALSE) / VLOOKUP("electricity|SO2|Premature mortality", US_national_yearly!$D:$AM, 10, FALSE), 1)</f>
        <v>1.5501318138190538E-3</v>
      </c>
      <c r="M2" s="7">
        <f>$B2 * IFERROR(VLOOKUP("electricity|SO2|Premature mortality", US_national_yearly!$D:$AM, 21, FALSE) / VLOOKUP("electricity|SO2|Premature mortality", US_national_yearly!$D:$AM, 10, FALSE), 1)</f>
        <v>1.5722108616920405E-3</v>
      </c>
      <c r="N2" s="7">
        <f>$B2 * IFERROR(VLOOKUP("electricity|SO2|Premature mortality", US_national_yearly!$D:$AM, 22, FALSE) / VLOOKUP("electricity|SO2|Premature mortality", US_national_yearly!$D:$AM, 10, FALSE), 1)</f>
        <v>1.5899054587658642E-3</v>
      </c>
      <c r="O2" s="7">
        <f>$B2 * IFERROR(VLOOKUP("electricity|SO2|Premature mortality", US_national_yearly!$D:$AM, 23, FALSE) / VLOOKUP("electricity|SO2|Premature mortality", US_national_yearly!$D:$AM, 10, FALSE), 1)</f>
        <v>1.6076000558396882E-3</v>
      </c>
      <c r="P2" s="7">
        <f>$B2 * IFERROR(VLOOKUP("electricity|SO2|Premature mortality", US_national_yearly!$D:$AM, 24, FALSE) / VLOOKUP("electricity|SO2|Premature mortality", US_national_yearly!$D:$AM, 10, FALSE), 1)</f>
        <v>1.6252946529135115E-3</v>
      </c>
      <c r="Q2" s="7">
        <f>$B2 * IFERROR(VLOOKUP("electricity|SO2|Premature mortality", US_national_yearly!$D:$AM, 25, FALSE) / VLOOKUP("electricity|SO2|Premature mortality", US_national_yearly!$D:$AM, 10, FALSE), 1)</f>
        <v>1.6429892499873352E-3</v>
      </c>
      <c r="R2" s="7">
        <f>$B2 * IFERROR(VLOOKUP("electricity|SO2|Premature mortality", US_national_yearly!$D:$AM, 26, FALSE) / VLOOKUP("electricity|SO2|Premature mortality", US_national_yearly!$D:$AM, 10, FALSE), 1)</f>
        <v>1.6606838470611589E-3</v>
      </c>
      <c r="S2" s="7">
        <f>$B2 * IFERROR(VLOOKUP("electricity|SO2|Premature mortality", US_national_yearly!$D:$AM, 27, FALSE) / VLOOKUP("electricity|SO2|Premature mortality", US_national_yearly!$D:$AM, 10, FALSE), 1)</f>
        <v>1.6708286764147212E-3</v>
      </c>
      <c r="T2" s="7">
        <f>$B2 * IFERROR(VLOOKUP("electricity|SO2|Premature mortality", US_national_yearly!$D:$AM, 28, FALSE) / VLOOKUP("electricity|SO2|Premature mortality", US_national_yearly!$D:$AM, 10, FALSE), 1)</f>
        <v>1.6809735057682837E-3</v>
      </c>
      <c r="U2" s="7">
        <f>$B2 * IFERROR(VLOOKUP("electricity|SO2|Premature mortality", US_national_yearly!$D:$AM, 29, FALSE) / VLOOKUP("electricity|SO2|Premature mortality", US_national_yearly!$D:$AM, 10, FALSE), 1)</f>
        <v>1.691118335121846E-3</v>
      </c>
      <c r="V2" s="7">
        <f>$B2 * IFERROR(VLOOKUP("electricity|SO2|Premature mortality", US_national_yearly!$D:$AM, 30, FALSE) / VLOOKUP("electricity|SO2|Premature mortality", US_national_yearly!$D:$AM, 10, FALSE), 1)</f>
        <v>1.7012631644754085E-3</v>
      </c>
      <c r="W2" s="7">
        <f>$B2 * IFERROR(VLOOKUP("electricity|SO2|Premature mortality", US_national_yearly!$D:$AM, 31, FALSE) / VLOOKUP("electricity|SO2|Premature mortality", US_national_yearly!$D:$AM, 10, FALSE), 1)</f>
        <v>1.7114079938289708E-3</v>
      </c>
      <c r="X2" s="7">
        <f>$B2 * IFERROR(VLOOKUP("electricity|SO2|Premature mortality", US_national_yearly!$D:$AM, 32, FALSE) / VLOOKUP("electricity|SO2|Premature mortality", US_national_yearly!$D:$AM, 10, FALSE), 1)</f>
        <v>1.7143971238542271E-3</v>
      </c>
      <c r="Y2" s="7">
        <f>$B2 * IFERROR(VLOOKUP("electricity|SO2|Premature mortality", US_national_yearly!$D:$AM, 33, FALSE) / VLOOKUP("electricity|SO2|Premature mortality", US_national_yearly!$D:$AM, 10, FALSE), 1)</f>
        <v>1.7173862538794832E-3</v>
      </c>
      <c r="Z2" s="7">
        <f>$B2 * IFERROR(VLOOKUP("electricity|SO2|Premature mortality", US_national_yearly!$D:$AM, 34, FALSE) / VLOOKUP("electricity|SO2|Premature mortality", US_national_yearly!$D:$AM, 10, FALSE), 1)</f>
        <v>1.7203753839047393E-3</v>
      </c>
      <c r="AA2" s="7">
        <f>$B2 * IFERROR(VLOOKUP("electricity|SO2|Premature mortality", US_national_yearly!$D:$AM, 35, FALSE) / VLOOKUP("electricity|SO2|Premature mortality", US_national_yearly!$D:$AM, 10, FALSE), 1)</f>
        <v>1.7233645139299956E-3</v>
      </c>
      <c r="AB2" s="7">
        <f>$B2 * IFERROR(VLOOKUP("electricity|SO2|Premature mortality", US_national_yearly!$D:$AM, 36, FALSE) / VLOOKUP("electricity|SO2|Premature mortality", US_national_yearly!$D:$AM, 10, FALSE), 1)</f>
        <v>1.7263536439552517E-3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2.9061361936912106E-6</v>
      </c>
      <c r="C3" s="7">
        <f>$B3 * IFERROR(VLOOKUP("electricity|SO2|Infant mortality", US_national_yearly!$D:$AM, 11, FALSE) / VLOOKUP("electricity|SO2|Infant mortality", US_national_yearly!$D:$AM, 10, FALSE), 1)</f>
        <v>2.8815848684811217E-6</v>
      </c>
      <c r="D3" s="7">
        <f>$B3 * IFERROR(VLOOKUP("electricity|SO2|Infant mortality", US_national_yearly!$D:$AM, 12, FALSE) / VLOOKUP("electricity|SO2|Infant mortality", US_national_yearly!$D:$AM, 10, FALSE), 1)</f>
        <v>2.8570335432710329E-6</v>
      </c>
      <c r="E3" s="7">
        <f>$B3 * IFERROR(VLOOKUP("electricity|SO2|Infant mortality", US_national_yearly!$D:$AM, 13, FALSE) / VLOOKUP("electricity|SO2|Infant mortality", US_national_yearly!$D:$AM, 10, FALSE), 1)</f>
        <v>2.8324822180609437E-6</v>
      </c>
      <c r="F3" s="7">
        <f>$B3 * IFERROR(VLOOKUP("electricity|SO2|Infant mortality", US_national_yearly!$D:$AM, 14, FALSE) / VLOOKUP("electricity|SO2|Infant mortality", US_national_yearly!$D:$AM, 10, FALSE), 1)</f>
        <v>2.8079308928508553E-6</v>
      </c>
      <c r="G3" s="7">
        <f>$B3 * IFERROR(VLOOKUP("electricity|SO2|Infant mortality", US_national_yearly!$D:$AM, 15, FALSE) / VLOOKUP("electricity|SO2|Infant mortality", US_national_yearly!$D:$AM, 10, FALSE), 1)</f>
        <v>1.8674194981230649E-6</v>
      </c>
      <c r="H3" s="7">
        <f>$B3 * IFERROR(VLOOKUP("electricity|SO2|Infant mortality", US_national_yearly!$D:$AM, 16, FALSE) / VLOOKUP("electricity|SO2|Infant mortality", US_national_yearly!$D:$AM, 10, FALSE), 1)</f>
        <v>9.2690810339527442E-7</v>
      </c>
      <c r="I3" s="7">
        <f>$B3 * IFERROR(VLOOKUP("electricity|SO2|Infant mortality", US_national_yearly!$D:$AM, 17, FALSE) / VLOOKUP("electricity|SO2|Infant mortality", US_national_yearly!$D:$AM, 10, FALSE), 1)</f>
        <v>9.2097822674915284E-7</v>
      </c>
      <c r="J3" s="7">
        <f>$B3 * IFERROR(VLOOKUP("electricity|SO2|Infant mortality", US_national_yearly!$D:$AM, 18, FALSE) / VLOOKUP("electricity|SO2|Infant mortality", US_national_yearly!$D:$AM, 10, FALSE), 1)</f>
        <v>9.1504835010303116E-7</v>
      </c>
      <c r="K3" s="7">
        <f>$B3 * IFERROR(VLOOKUP("electricity|SO2|Infant mortality", US_national_yearly!$D:$AM, 19, FALSE) / VLOOKUP("electricity|SO2|Infant mortality", US_national_yearly!$D:$AM, 10, FALSE), 1)</f>
        <v>9.0911847345690979E-7</v>
      </c>
      <c r="L3" s="7">
        <f>$B3 * IFERROR(VLOOKUP("electricity|SO2|Infant mortality", US_national_yearly!$D:$AM, 20, FALSE) / VLOOKUP("electricity|SO2|Infant mortality", US_national_yearly!$D:$AM, 10, FALSE), 1)</f>
        <v>9.03188596810788E-7</v>
      </c>
      <c r="M3" s="7">
        <f>$B3 * IFERROR(VLOOKUP("electricity|SO2|Infant mortality", US_national_yearly!$D:$AM, 21, FALSE) / VLOOKUP("electricity|SO2|Infant mortality", US_national_yearly!$D:$AM, 10, FALSE), 1)</f>
        <v>8.9725872016466643E-7</v>
      </c>
      <c r="N3" s="7">
        <f>$B3 * IFERROR(VLOOKUP("electricity|SO2|Infant mortality", US_national_yearly!$D:$AM, 22, FALSE) / VLOOKUP("electricity|SO2|Infant mortality", US_national_yearly!$D:$AM, 10, FALSE), 1)</f>
        <v>8.9350128755088451E-7</v>
      </c>
      <c r="O3" s="7">
        <f>$B3 * IFERROR(VLOOKUP("electricity|SO2|Infant mortality", US_national_yearly!$D:$AM, 23, FALSE) / VLOOKUP("electricity|SO2|Infant mortality", US_national_yearly!$D:$AM, 10, FALSE), 1)</f>
        <v>8.8974385493710238E-7</v>
      </c>
      <c r="P3" s="7">
        <f>$B3 * IFERROR(VLOOKUP("electricity|SO2|Infant mortality", US_national_yearly!$D:$AM, 24, FALSE) / VLOOKUP("electricity|SO2|Infant mortality", US_national_yearly!$D:$AM, 10, FALSE), 1)</f>
        <v>8.8598642232332015E-7</v>
      </c>
      <c r="Q3" s="7">
        <f>$B3 * IFERROR(VLOOKUP("electricity|SO2|Infant mortality", US_national_yearly!$D:$AM, 25, FALSE) / VLOOKUP("electricity|SO2|Infant mortality", US_national_yearly!$D:$AM, 10, FALSE), 1)</f>
        <v>8.8222898970953824E-7</v>
      </c>
      <c r="R3" s="7">
        <f>$B3 * IFERROR(VLOOKUP("electricity|SO2|Infant mortality", US_national_yearly!$D:$AM, 26, FALSE) / VLOOKUP("electricity|SO2|Infant mortality", US_national_yearly!$D:$AM, 10, FALSE), 1)</f>
        <v>8.7847155709575622E-7</v>
      </c>
      <c r="S3" s="7">
        <f>$B3 * IFERROR(VLOOKUP("electricity|SO2|Infant mortality", US_national_yearly!$D:$AM, 27, FALSE) / VLOOKUP("electricity|SO2|Infant mortality", US_national_yearly!$D:$AM, 10, FALSE), 1)</f>
        <v>8.7378839345003457E-7</v>
      </c>
      <c r="T3" s="7">
        <f>$B3 * IFERROR(VLOOKUP("electricity|SO2|Infant mortality", US_national_yearly!$D:$AM, 28, FALSE) / VLOOKUP("electricity|SO2|Infant mortality", US_national_yearly!$D:$AM, 10, FALSE), 1)</f>
        <v>8.6910522980431304E-7</v>
      </c>
      <c r="U3" s="7">
        <f>$B3 * IFERROR(VLOOKUP("electricity|SO2|Infant mortality", US_national_yearly!$D:$AM, 29, FALSE) / VLOOKUP("electricity|SO2|Infant mortality", US_national_yearly!$D:$AM, 10, FALSE), 1)</f>
        <v>8.644220661585916E-7</v>
      </c>
      <c r="V3" s="7">
        <f>$B3 * IFERROR(VLOOKUP("electricity|SO2|Infant mortality", US_national_yearly!$D:$AM, 30, FALSE) / VLOOKUP("electricity|SO2|Infant mortality", US_national_yearly!$D:$AM, 10, FALSE), 1)</f>
        <v>8.5973890251287007E-7</v>
      </c>
      <c r="W3" s="7">
        <f>$B3 * IFERROR(VLOOKUP("electricity|SO2|Infant mortality", US_national_yearly!$D:$AM, 31, FALSE) / VLOOKUP("electricity|SO2|Infant mortality", US_national_yearly!$D:$AM, 10, FALSE), 1)</f>
        <v>8.5505573886714842E-7</v>
      </c>
      <c r="X3" s="7">
        <f>$B3 * IFERROR(VLOOKUP("electricity|SO2|Infant mortality", US_national_yearly!$D:$AM, 32, FALSE) / VLOOKUP("electricity|SO2|Infant mortality", US_national_yearly!$D:$AM, 10, FALSE), 1)</f>
        <v>8.5005894039853858E-7</v>
      </c>
      <c r="Y3" s="7">
        <f>$B3 * IFERROR(VLOOKUP("electricity|SO2|Infant mortality", US_national_yearly!$D:$AM, 33, FALSE) / VLOOKUP("electricity|SO2|Infant mortality", US_national_yearly!$D:$AM, 10, FALSE), 1)</f>
        <v>8.4506214192992852E-7</v>
      </c>
      <c r="Z3" s="7">
        <f>$B3 * IFERROR(VLOOKUP("electricity|SO2|Infant mortality", US_national_yearly!$D:$AM, 34, FALSE) / VLOOKUP("electricity|SO2|Infant mortality", US_national_yearly!$D:$AM, 10, FALSE), 1)</f>
        <v>8.4006534346131868E-7</v>
      </c>
      <c r="AA3" s="7">
        <f>$B3 * IFERROR(VLOOKUP("electricity|SO2|Infant mortality", US_national_yearly!$D:$AM, 35, FALSE) / VLOOKUP("electricity|SO2|Infant mortality", US_national_yearly!$D:$AM, 10, FALSE), 1)</f>
        <v>8.3506854499270894E-7</v>
      </c>
      <c r="AB3" s="7">
        <f>$B3 * IFERROR(VLOOKUP("electricity|SO2|Infant mortality", US_national_yearly!$D:$AM, 36, FALSE) / VLOOKUP("electricity|SO2|Infant mortality", US_national_yearly!$D:$AM, 10, FALSE), 1)</f>
        <v>8.3007174652409899E-7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2.7616242969091772E-3</v>
      </c>
      <c r="C6" s="7">
        <f>$B6 * IFERROR(VLOOKUP("electricity|SO2|Asthma symptoms cough", US_national_yearly!$D:$AM, 11, FALSE) / VLOOKUP("electricity|SO2|Asthma symptoms cough", US_national_yearly!$D:$AM, 10, FALSE), 1)</f>
        <v>2.7616242969091772E-3</v>
      </c>
      <c r="D6" s="7">
        <f>$B6 * IFERROR(VLOOKUP("electricity|SO2|Asthma symptoms cough", US_national_yearly!$D:$AM, 12, FALSE) / VLOOKUP("electricity|SO2|Asthma symptoms cough", US_national_yearly!$D:$AM, 10, FALSE), 1)</f>
        <v>2.7616242969091772E-3</v>
      </c>
      <c r="E6" s="7">
        <f>$B6 * IFERROR(VLOOKUP("electricity|SO2|Asthma symptoms cough", US_national_yearly!$D:$AM, 13, FALSE) / VLOOKUP("electricity|SO2|Asthma symptoms cough", US_national_yearly!$D:$AM, 10, FALSE), 1)</f>
        <v>2.7616242969091772E-3</v>
      </c>
      <c r="F6" s="7">
        <f>$B6 * IFERROR(VLOOKUP("electricity|SO2|Asthma symptoms cough", US_national_yearly!$D:$AM, 14, FALSE) / VLOOKUP("electricity|SO2|Asthma symptoms cough", US_national_yearly!$D:$AM, 10, FALSE), 1)</f>
        <v>2.7616242969091772E-3</v>
      </c>
      <c r="G6" s="7">
        <f>$B6 * IFERROR(VLOOKUP("electricity|SO2|Asthma symptoms cough", US_national_yearly!$D:$AM, 15, FALSE) / VLOOKUP("electricity|SO2|Asthma symptoms cough", US_national_yearly!$D:$AM, 10, FALSE), 1)</f>
        <v>2.7616242969091772E-3</v>
      </c>
      <c r="H6" s="7">
        <f>$B6 * IFERROR(VLOOKUP("electricity|SO2|Asthma symptoms cough", US_national_yearly!$D:$AM, 16, FALSE) / VLOOKUP("electricity|SO2|Asthma symptoms cough", US_national_yearly!$D:$AM, 10, FALSE), 1)</f>
        <v>2.7616242969091772E-3</v>
      </c>
      <c r="I6" s="7">
        <f>$B6 * IFERROR(VLOOKUP("electricity|SO2|Asthma symptoms cough", US_national_yearly!$D:$AM, 17, FALSE) / VLOOKUP("electricity|SO2|Asthma symptoms cough", US_national_yearly!$D:$AM, 10, FALSE), 1)</f>
        <v>2.7616242969091772E-3</v>
      </c>
      <c r="J6" s="7">
        <f>$B6 * IFERROR(VLOOKUP("electricity|SO2|Asthma symptoms cough", US_national_yearly!$D:$AM, 18, FALSE) / VLOOKUP("electricity|SO2|Asthma symptoms cough", US_national_yearly!$D:$AM, 10, FALSE), 1)</f>
        <v>2.7616242969091772E-3</v>
      </c>
      <c r="K6" s="7">
        <f>$B6 * IFERROR(VLOOKUP("electricity|SO2|Asthma symptoms cough", US_national_yearly!$D:$AM, 19, FALSE) / VLOOKUP("electricity|SO2|Asthma symptoms cough", US_national_yearly!$D:$AM, 10, FALSE), 1)</f>
        <v>2.7616242969091772E-3</v>
      </c>
      <c r="L6" s="7">
        <f>$B6 * IFERROR(VLOOKUP("electricity|SO2|Asthma symptoms cough", US_national_yearly!$D:$AM, 20, FALSE) / VLOOKUP("electricity|SO2|Asthma symptoms cough", US_national_yearly!$D:$AM, 10, FALSE), 1)</f>
        <v>2.7616242969091772E-3</v>
      </c>
      <c r="M6" s="7">
        <f>$B6 * IFERROR(VLOOKUP("electricity|SO2|Asthma symptoms cough", US_national_yearly!$D:$AM, 21, FALSE) / VLOOKUP("electricity|SO2|Asthma symptoms cough", US_national_yearly!$D:$AM, 10, FALSE), 1)</f>
        <v>2.7616242969091772E-3</v>
      </c>
      <c r="N6" s="7">
        <f>$B6 * IFERROR(VLOOKUP("electricity|SO2|Asthma symptoms cough", US_national_yearly!$D:$AM, 22, FALSE) / VLOOKUP("electricity|SO2|Asthma symptoms cough", US_national_yearly!$D:$AM, 10, FALSE), 1)</f>
        <v>2.7616242969091772E-3</v>
      </c>
      <c r="O6" s="7">
        <f>$B6 * IFERROR(VLOOKUP("electricity|SO2|Asthma symptoms cough", US_national_yearly!$D:$AM, 23, FALSE) / VLOOKUP("electricity|SO2|Asthma symptoms cough", US_national_yearly!$D:$AM, 10, FALSE), 1)</f>
        <v>2.7616242969091772E-3</v>
      </c>
      <c r="P6" s="7">
        <f>$B6 * IFERROR(VLOOKUP("electricity|SO2|Asthma symptoms cough", US_national_yearly!$D:$AM, 24, FALSE) / VLOOKUP("electricity|SO2|Asthma symptoms cough", US_national_yearly!$D:$AM, 10, FALSE), 1)</f>
        <v>2.7616242969091772E-3</v>
      </c>
      <c r="Q6" s="7">
        <f>$B6 * IFERROR(VLOOKUP("electricity|SO2|Asthma symptoms cough", US_national_yearly!$D:$AM, 25, FALSE) / VLOOKUP("electricity|SO2|Asthma symptoms cough", US_national_yearly!$D:$AM, 10, FALSE), 1)</f>
        <v>2.7616242969091772E-3</v>
      </c>
      <c r="R6" s="7">
        <f>$B6 * IFERROR(VLOOKUP("electricity|SO2|Asthma symptoms cough", US_national_yearly!$D:$AM, 26, FALSE) / VLOOKUP("electricity|SO2|Asthma symptoms cough", US_national_yearly!$D:$AM, 10, FALSE), 1)</f>
        <v>2.7616242969091772E-3</v>
      </c>
      <c r="S6" s="7">
        <f>$B6 * IFERROR(VLOOKUP("electricity|SO2|Asthma symptoms cough", US_national_yearly!$D:$AM, 27, FALSE) / VLOOKUP("electricity|SO2|Asthma symptoms cough", US_national_yearly!$D:$AM, 10, FALSE), 1)</f>
        <v>2.7616242969091772E-3</v>
      </c>
      <c r="T6" s="7">
        <f>$B6 * IFERROR(VLOOKUP("electricity|SO2|Asthma symptoms cough", US_national_yearly!$D:$AM, 28, FALSE) / VLOOKUP("electricity|SO2|Asthma symptoms cough", US_national_yearly!$D:$AM, 10, FALSE), 1)</f>
        <v>2.7616242969091772E-3</v>
      </c>
      <c r="U6" s="7">
        <f>$B6 * IFERROR(VLOOKUP("electricity|SO2|Asthma symptoms cough", US_national_yearly!$D:$AM, 29, FALSE) / VLOOKUP("electricity|SO2|Asthma symptoms cough", US_national_yearly!$D:$AM, 10, FALSE), 1)</f>
        <v>2.7616242969091772E-3</v>
      </c>
      <c r="V6" s="7">
        <f>$B6 * IFERROR(VLOOKUP("electricity|SO2|Asthma symptoms cough", US_national_yearly!$D:$AM, 30, FALSE) / VLOOKUP("electricity|SO2|Asthma symptoms cough", US_national_yearly!$D:$AM, 10, FALSE), 1)</f>
        <v>2.7616242969091772E-3</v>
      </c>
      <c r="W6" s="7">
        <f>$B6 * IFERROR(VLOOKUP("electricity|SO2|Asthma symptoms cough", US_national_yearly!$D:$AM, 31, FALSE) / VLOOKUP("electricity|SO2|Asthma symptoms cough", US_national_yearly!$D:$AM, 10, FALSE), 1)</f>
        <v>2.7616242969091772E-3</v>
      </c>
      <c r="X6" s="7">
        <f>$B6 * IFERROR(VLOOKUP("electricity|SO2|Asthma symptoms cough", US_national_yearly!$D:$AM, 32, FALSE) / VLOOKUP("electricity|SO2|Asthma symptoms cough", US_national_yearly!$D:$AM, 10, FALSE), 1)</f>
        <v>2.7616242969091772E-3</v>
      </c>
      <c r="Y6" s="7">
        <f>$B6 * IFERROR(VLOOKUP("electricity|SO2|Asthma symptoms cough", US_national_yearly!$D:$AM, 33, FALSE) / VLOOKUP("electricity|SO2|Asthma symptoms cough", US_national_yearly!$D:$AM, 10, FALSE), 1)</f>
        <v>2.7616242969091772E-3</v>
      </c>
      <c r="Z6" s="7">
        <f>$B6 * IFERROR(VLOOKUP("electricity|SO2|Asthma symptoms cough", US_national_yearly!$D:$AM, 34, FALSE) / VLOOKUP("electricity|SO2|Asthma symptoms cough", US_national_yearly!$D:$AM, 10, FALSE), 1)</f>
        <v>2.7616242969091772E-3</v>
      </c>
      <c r="AA6" s="7">
        <f>$B6 * IFERROR(VLOOKUP("electricity|SO2|Asthma symptoms cough", US_national_yearly!$D:$AM, 35, FALSE) / VLOOKUP("electricity|SO2|Asthma symptoms cough", US_national_yearly!$D:$AM, 10, FALSE), 1)</f>
        <v>2.7616242969091772E-3</v>
      </c>
      <c r="AB6" s="7">
        <f>$B6 * IFERROR(VLOOKUP("electricity|SO2|Asthma symptoms cough", US_national_yearly!$D:$AM, 36, FALSE) / VLOOKUP("electricity|SO2|Asthma symptoms cough", US_national_yearly!$D:$AM, 10, FALSE), 1)</f>
        <v>2.7616242969091772E-3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3.7189160705052011E-3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3.7189160705052011E-3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3.7189160705052011E-3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3.7189160705052011E-3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3.7189160705052011E-3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3.7189160705052011E-3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3.7189160705052011E-3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3.7189160705052011E-3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3.7189160705052011E-3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3.7189160705052011E-3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3.7189160705052011E-3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3.7189160705052011E-3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3.7189160705052011E-3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3.7189160705052011E-3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3.7189160705052011E-3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3.7189160705052011E-3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3.7189160705052011E-3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3.7189160705052011E-3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3.7189160705052011E-3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3.7189160705052011E-3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3.7189160705052011E-3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3.7189160705052011E-3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3.7189160705052011E-3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3.7189160705052011E-3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3.7189160705052011E-3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3.7189160705052011E-3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3.7189160705052011E-3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5.6819154659284313E-3</v>
      </c>
      <c r="C8" s="7">
        <f>$B8 * IFERROR(VLOOKUP("electricity|SO2|Asthma symptoms wheeze", US_national_yearly!$D:$AM, 11, FALSE) / VLOOKUP("electricity|SO2|Asthma symptoms wheeze", US_national_yearly!$D:$AM, 10, FALSE), 1)</f>
        <v>5.6819154659284313E-3</v>
      </c>
      <c r="D8" s="7">
        <f>$B8 * IFERROR(VLOOKUP("electricity|SO2|Asthma symptoms wheeze", US_national_yearly!$D:$AM, 12, FALSE) / VLOOKUP("electricity|SO2|Asthma symptoms wheeze", US_national_yearly!$D:$AM, 10, FALSE), 1)</f>
        <v>5.6819154659284313E-3</v>
      </c>
      <c r="E8" s="7">
        <f>$B8 * IFERROR(VLOOKUP("electricity|SO2|Asthma symptoms wheeze", US_national_yearly!$D:$AM, 13, FALSE) / VLOOKUP("electricity|SO2|Asthma symptoms wheeze", US_national_yearly!$D:$AM, 10, FALSE), 1)</f>
        <v>5.6819154659284313E-3</v>
      </c>
      <c r="F8" s="7">
        <f>$B8 * IFERROR(VLOOKUP("electricity|SO2|Asthma symptoms wheeze", US_national_yearly!$D:$AM, 14, FALSE) / VLOOKUP("electricity|SO2|Asthma symptoms wheeze", US_national_yearly!$D:$AM, 10, FALSE), 1)</f>
        <v>5.6819154659284313E-3</v>
      </c>
      <c r="G8" s="7">
        <f>$B8 * IFERROR(VLOOKUP("electricity|SO2|Asthma symptoms wheeze", US_national_yearly!$D:$AM, 15, FALSE) / VLOOKUP("electricity|SO2|Asthma symptoms wheeze", US_national_yearly!$D:$AM, 10, FALSE), 1)</f>
        <v>5.6819154659284313E-3</v>
      </c>
      <c r="H8" s="7">
        <f>$B8 * IFERROR(VLOOKUP("electricity|SO2|Asthma symptoms wheeze", US_national_yearly!$D:$AM, 16, FALSE) / VLOOKUP("electricity|SO2|Asthma symptoms wheeze", US_national_yearly!$D:$AM, 10, FALSE), 1)</f>
        <v>5.6819154659284313E-3</v>
      </c>
      <c r="I8" s="7">
        <f>$B8 * IFERROR(VLOOKUP("electricity|SO2|Asthma symptoms wheeze", US_national_yearly!$D:$AM, 17, FALSE) / VLOOKUP("electricity|SO2|Asthma symptoms wheeze", US_national_yearly!$D:$AM, 10, FALSE), 1)</f>
        <v>5.6819154659284313E-3</v>
      </c>
      <c r="J8" s="7">
        <f>$B8 * IFERROR(VLOOKUP("electricity|SO2|Asthma symptoms wheeze", US_national_yearly!$D:$AM, 18, FALSE) / VLOOKUP("electricity|SO2|Asthma symptoms wheeze", US_national_yearly!$D:$AM, 10, FALSE), 1)</f>
        <v>5.6819154659284313E-3</v>
      </c>
      <c r="K8" s="7">
        <f>$B8 * IFERROR(VLOOKUP("electricity|SO2|Asthma symptoms wheeze", US_national_yearly!$D:$AM, 19, FALSE) / VLOOKUP("electricity|SO2|Asthma symptoms wheeze", US_national_yearly!$D:$AM, 10, FALSE), 1)</f>
        <v>5.6819154659284313E-3</v>
      </c>
      <c r="L8" s="7">
        <f>$B8 * IFERROR(VLOOKUP("electricity|SO2|Asthma symptoms wheeze", US_national_yearly!$D:$AM, 20, FALSE) / VLOOKUP("electricity|SO2|Asthma symptoms wheeze", US_national_yearly!$D:$AM, 10, FALSE), 1)</f>
        <v>5.6819154659284313E-3</v>
      </c>
      <c r="M8" s="7">
        <f>$B8 * IFERROR(VLOOKUP("electricity|SO2|Asthma symptoms wheeze", US_national_yearly!$D:$AM, 21, FALSE) / VLOOKUP("electricity|SO2|Asthma symptoms wheeze", US_national_yearly!$D:$AM, 10, FALSE), 1)</f>
        <v>5.6819154659284313E-3</v>
      </c>
      <c r="N8" s="7">
        <f>$B8 * IFERROR(VLOOKUP("electricity|SO2|Asthma symptoms wheeze", US_national_yearly!$D:$AM, 22, FALSE) / VLOOKUP("electricity|SO2|Asthma symptoms wheeze", US_national_yearly!$D:$AM, 10, FALSE), 1)</f>
        <v>5.6819154659284313E-3</v>
      </c>
      <c r="O8" s="7">
        <f>$B8 * IFERROR(VLOOKUP("electricity|SO2|Asthma symptoms wheeze", US_national_yearly!$D:$AM, 23, FALSE) / VLOOKUP("electricity|SO2|Asthma symptoms wheeze", US_national_yearly!$D:$AM, 10, FALSE), 1)</f>
        <v>5.6819154659284313E-3</v>
      </c>
      <c r="P8" s="7">
        <f>$B8 * IFERROR(VLOOKUP("electricity|SO2|Asthma symptoms wheeze", US_national_yearly!$D:$AM, 24, FALSE) / VLOOKUP("electricity|SO2|Asthma symptoms wheeze", US_national_yearly!$D:$AM, 10, FALSE), 1)</f>
        <v>5.6819154659284313E-3</v>
      </c>
      <c r="Q8" s="7">
        <f>$B8 * IFERROR(VLOOKUP("electricity|SO2|Asthma symptoms wheeze", US_national_yearly!$D:$AM, 25, FALSE) / VLOOKUP("electricity|SO2|Asthma symptoms wheeze", US_national_yearly!$D:$AM, 10, FALSE), 1)</f>
        <v>5.6819154659284313E-3</v>
      </c>
      <c r="R8" s="7">
        <f>$B8 * IFERROR(VLOOKUP("electricity|SO2|Asthma symptoms wheeze", US_national_yearly!$D:$AM, 26, FALSE) / VLOOKUP("electricity|SO2|Asthma symptoms wheeze", US_national_yearly!$D:$AM, 10, FALSE), 1)</f>
        <v>5.6819154659284313E-3</v>
      </c>
      <c r="S8" s="7">
        <f>$B8 * IFERROR(VLOOKUP("electricity|SO2|Asthma symptoms wheeze", US_national_yearly!$D:$AM, 27, FALSE) / VLOOKUP("electricity|SO2|Asthma symptoms wheeze", US_national_yearly!$D:$AM, 10, FALSE), 1)</f>
        <v>5.6819154659284313E-3</v>
      </c>
      <c r="T8" s="7">
        <f>$B8 * IFERROR(VLOOKUP("electricity|SO2|Asthma symptoms wheeze", US_national_yearly!$D:$AM, 28, FALSE) / VLOOKUP("electricity|SO2|Asthma symptoms wheeze", US_national_yearly!$D:$AM, 10, FALSE), 1)</f>
        <v>5.6819154659284313E-3</v>
      </c>
      <c r="U8" s="7">
        <f>$B8 * IFERROR(VLOOKUP("electricity|SO2|Asthma symptoms wheeze", US_national_yearly!$D:$AM, 29, FALSE) / VLOOKUP("electricity|SO2|Asthma symptoms wheeze", US_national_yearly!$D:$AM, 10, FALSE), 1)</f>
        <v>5.6819154659284313E-3</v>
      </c>
      <c r="V8" s="7">
        <f>$B8 * IFERROR(VLOOKUP("electricity|SO2|Asthma symptoms wheeze", US_national_yearly!$D:$AM, 30, FALSE) / VLOOKUP("electricity|SO2|Asthma symptoms wheeze", US_national_yearly!$D:$AM, 10, FALSE), 1)</f>
        <v>5.6819154659284313E-3</v>
      </c>
      <c r="W8" s="7">
        <f>$B8 * IFERROR(VLOOKUP("electricity|SO2|Asthma symptoms wheeze", US_national_yearly!$D:$AM, 31, FALSE) / VLOOKUP("electricity|SO2|Asthma symptoms wheeze", US_national_yearly!$D:$AM, 10, FALSE), 1)</f>
        <v>5.6819154659284313E-3</v>
      </c>
      <c r="X8" s="7">
        <f>$B8 * IFERROR(VLOOKUP("electricity|SO2|Asthma symptoms wheeze", US_national_yearly!$D:$AM, 32, FALSE) / VLOOKUP("electricity|SO2|Asthma symptoms wheeze", US_national_yearly!$D:$AM, 10, FALSE), 1)</f>
        <v>5.6819154659284313E-3</v>
      </c>
      <c r="Y8" s="7">
        <f>$B8 * IFERROR(VLOOKUP("electricity|SO2|Asthma symptoms wheeze", US_national_yearly!$D:$AM, 33, FALSE) / VLOOKUP("electricity|SO2|Asthma symptoms wheeze", US_national_yearly!$D:$AM, 10, FALSE), 1)</f>
        <v>5.6819154659284313E-3</v>
      </c>
      <c r="Z8" s="7">
        <f>$B8 * IFERROR(VLOOKUP("electricity|SO2|Asthma symptoms wheeze", US_national_yearly!$D:$AM, 34, FALSE) / VLOOKUP("electricity|SO2|Asthma symptoms wheeze", US_national_yearly!$D:$AM, 10, FALSE), 1)</f>
        <v>5.6819154659284313E-3</v>
      </c>
      <c r="AA8" s="7">
        <f>$B8 * IFERROR(VLOOKUP("electricity|SO2|Asthma symptoms wheeze", US_national_yearly!$D:$AM, 35, FALSE) / VLOOKUP("electricity|SO2|Asthma symptoms wheeze", US_national_yearly!$D:$AM, 10, FALSE), 1)</f>
        <v>5.6819154659284313E-3</v>
      </c>
      <c r="AB8" s="7">
        <f>$B8 * IFERROR(VLOOKUP("electricity|SO2|Asthma symptoms wheeze", US_national_yearly!$D:$AM, 36, FALSE) / VLOOKUP("electricity|SO2|Asthma symptoms wheeze", US_national_yearly!$D:$AM, 10, FALSE), 1)</f>
        <v>5.6819154659284313E-3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8.4484051557242551E-5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8.498163143931325E-5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8.5479211321383961E-5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8.597679120345466E-5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8.6474371085525371E-5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8.7016581675427763E-5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8.7558792265330154E-5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8.8080406776798169E-5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8.8602021288266183E-5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8.9123635799734211E-5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8.9645250311202212E-5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9.0166864822670241E-5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9.0540998256918585E-5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9.0915131691166957E-5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9.1289265125415301E-5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9.1663398559663645E-5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9.2037531993912003E-5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9.2390658883712579E-5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9.2743785773513168E-5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9.3096912663313743E-5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9.3450039553114332E-5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9.3803166442914921E-5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9.4141930581844634E-5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9.4480694720774374E-5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9.4819458859704127E-5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9.5158222998633827E-5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9.549698713756358E-5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5.4751739321002961E-4</v>
      </c>
      <c r="C13" s="7">
        <f>$B13 * IFERROR(VLOOKUP("electricity|SO2|Non-fatal heart attacks", US_national_yearly!$D:$AM, 11, FALSE) / VLOOKUP("electricity|SO2|Non-fatal heart attacks", US_national_yearly!$D:$AM, 10, FALSE), 1)</f>
        <v>5.6364482984767319E-4</v>
      </c>
      <c r="D13" s="7">
        <f>$B13 * IFERROR(VLOOKUP("electricity|SO2|Non-fatal heart attacks", US_national_yearly!$D:$AM, 12, FALSE) / VLOOKUP("electricity|SO2|Non-fatal heart attacks", US_national_yearly!$D:$AM, 10, FALSE), 1)</f>
        <v>5.7977226648531655E-4</v>
      </c>
      <c r="E13" s="7">
        <f>$B13 * IFERROR(VLOOKUP("electricity|SO2|Non-fatal heart attacks", US_national_yearly!$D:$AM, 13, FALSE) / VLOOKUP("electricity|SO2|Non-fatal heart attacks", US_national_yearly!$D:$AM, 10, FALSE), 1)</f>
        <v>5.9589970312296024E-4</v>
      </c>
      <c r="F13" s="7">
        <f>$B13 * IFERROR(VLOOKUP("electricity|SO2|Non-fatal heart attacks", US_national_yearly!$D:$AM, 14, FALSE) / VLOOKUP("electricity|SO2|Non-fatal heart attacks", US_national_yearly!$D:$AM, 10, FALSE), 1)</f>
        <v>6.1202713976060371E-4</v>
      </c>
      <c r="G13" s="7">
        <f>$B13 * IFERROR(VLOOKUP("electricity|SO2|Non-fatal heart attacks", US_national_yearly!$D:$AM, 15, FALSE) / VLOOKUP("electricity|SO2|Non-fatal heart attacks", US_national_yearly!$D:$AM, 10, FALSE), 1)</f>
        <v>6.2733256100223585E-4</v>
      </c>
      <c r="H13" s="7">
        <f>$B13 * IFERROR(VLOOKUP("electricity|SO2|Non-fatal heart attacks", US_national_yearly!$D:$AM, 16, FALSE) / VLOOKUP("electricity|SO2|Non-fatal heart attacks", US_national_yearly!$D:$AM, 10, FALSE), 1)</f>
        <v>6.426379822438681E-4</v>
      </c>
      <c r="I13" s="7">
        <f>$B13 * IFERROR(VLOOKUP("electricity|SO2|Non-fatal heart attacks", US_national_yearly!$D:$AM, 17, FALSE) / VLOOKUP("electricity|SO2|Non-fatal heart attacks", US_national_yearly!$D:$AM, 10, FALSE), 1)</f>
        <v>6.5510249595953697E-4</v>
      </c>
      <c r="J13" s="7">
        <f>$B13 * IFERROR(VLOOKUP("electricity|SO2|Non-fatal heart attacks", US_national_yearly!$D:$AM, 18, FALSE) / VLOOKUP("electricity|SO2|Non-fatal heart attacks", US_national_yearly!$D:$AM, 10, FALSE), 1)</f>
        <v>6.6756700967520572E-4</v>
      </c>
      <c r="K13" s="7">
        <f>$B13 * IFERROR(VLOOKUP("electricity|SO2|Non-fatal heart attacks", US_national_yearly!$D:$AM, 19, FALSE) / VLOOKUP("electricity|SO2|Non-fatal heart attacks", US_national_yearly!$D:$AM, 10, FALSE), 1)</f>
        <v>6.8003152339087458E-4</v>
      </c>
      <c r="L13" s="7">
        <f>$B13 * IFERROR(VLOOKUP("electricity|SO2|Non-fatal heart attacks", US_national_yearly!$D:$AM, 20, FALSE) / VLOOKUP("electricity|SO2|Non-fatal heart attacks", US_national_yearly!$D:$AM, 10, FALSE), 1)</f>
        <v>6.9249603710654333E-4</v>
      </c>
      <c r="M13" s="7">
        <f>$B13 * IFERROR(VLOOKUP("electricity|SO2|Non-fatal heart attacks", US_national_yearly!$D:$AM, 21, FALSE) / VLOOKUP("electricity|SO2|Non-fatal heart attacks", US_national_yearly!$D:$AM, 10, FALSE), 1)</f>
        <v>7.049605508222122E-4</v>
      </c>
      <c r="N13" s="7">
        <f>$B13 * IFERROR(VLOOKUP("electricity|SO2|Non-fatal heart attacks", US_national_yearly!$D:$AM, 22, FALSE) / VLOOKUP("electricity|SO2|Non-fatal heart attacks", US_national_yearly!$D:$AM, 10, FALSE), 1)</f>
        <v>7.1318031080775377E-4</v>
      </c>
      <c r="O13" s="7">
        <f>$B13 * IFERROR(VLOOKUP("electricity|SO2|Non-fatal heart attacks", US_national_yearly!$D:$AM, 23, FALSE) / VLOOKUP("electricity|SO2|Non-fatal heart attacks", US_national_yearly!$D:$AM, 10, FALSE), 1)</f>
        <v>7.2140007079329513E-4</v>
      </c>
      <c r="P13" s="7">
        <f>$B13 * IFERROR(VLOOKUP("electricity|SO2|Non-fatal heart attacks", US_national_yearly!$D:$AM, 24, FALSE) / VLOOKUP("electricity|SO2|Non-fatal heart attacks", US_national_yearly!$D:$AM, 10, FALSE), 1)</f>
        <v>7.2961983077883671E-4</v>
      </c>
      <c r="Q13" s="7">
        <f>$B13 * IFERROR(VLOOKUP("electricity|SO2|Non-fatal heart attacks", US_national_yearly!$D:$AM, 25, FALSE) / VLOOKUP("electricity|SO2|Non-fatal heart attacks", US_national_yearly!$D:$AM, 10, FALSE), 1)</f>
        <v>7.3783959076437829E-4</v>
      </c>
      <c r="R13" s="7">
        <f>$B13 * IFERROR(VLOOKUP("electricity|SO2|Non-fatal heart attacks", US_national_yearly!$D:$AM, 26, FALSE) / VLOOKUP("electricity|SO2|Non-fatal heart attacks", US_national_yearly!$D:$AM, 10, FALSE), 1)</f>
        <v>7.4605935074991976E-4</v>
      </c>
      <c r="S13" s="7">
        <f>$B13 * IFERROR(VLOOKUP("electricity|SO2|Non-fatal heart attacks", US_national_yearly!$D:$AM, 27, FALSE) / VLOOKUP("electricity|SO2|Non-fatal heart attacks", US_national_yearly!$D:$AM, 10, FALSE), 1)</f>
        <v>7.5053234852821696E-4</v>
      </c>
      <c r="T13" s="7">
        <f>$B13 * IFERROR(VLOOKUP("electricity|SO2|Non-fatal heart attacks", US_national_yearly!$D:$AM, 28, FALSE) / VLOOKUP("electricity|SO2|Non-fatal heart attacks", US_national_yearly!$D:$AM, 10, FALSE), 1)</f>
        <v>7.5500534630651417E-4</v>
      </c>
      <c r="U13" s="7">
        <f>$B13 * IFERROR(VLOOKUP("electricity|SO2|Non-fatal heart attacks", US_national_yearly!$D:$AM, 29, FALSE) / VLOOKUP("electricity|SO2|Non-fatal heart attacks", US_national_yearly!$D:$AM, 10, FALSE), 1)</f>
        <v>7.5947834408481149E-4</v>
      </c>
      <c r="V13" s="7">
        <f>$B13 * IFERROR(VLOOKUP("electricity|SO2|Non-fatal heart attacks", US_national_yearly!$D:$AM, 30, FALSE) / VLOOKUP("electricity|SO2|Non-fatal heart attacks", US_national_yearly!$D:$AM, 10, FALSE), 1)</f>
        <v>7.6395134186310848E-4</v>
      </c>
      <c r="W13" s="7">
        <f>$B13 * IFERROR(VLOOKUP("electricity|SO2|Non-fatal heart attacks", US_national_yearly!$D:$AM, 31, FALSE) / VLOOKUP("electricity|SO2|Non-fatal heart attacks", US_national_yearly!$D:$AM, 10, FALSE), 1)</f>
        <v>7.6842433964140579E-4</v>
      </c>
      <c r="X13" s="7">
        <f>$B13 * IFERROR(VLOOKUP("electricity|SO2|Non-fatal heart attacks", US_national_yearly!$D:$AM, 32, FALSE) / VLOOKUP("electricity|SO2|Non-fatal heart attacks", US_national_yearly!$D:$AM, 10, FALSE), 1)</f>
        <v>7.7186034868386366E-4</v>
      </c>
      <c r="Y13" s="7">
        <f>$B13 * IFERROR(VLOOKUP("electricity|SO2|Non-fatal heart attacks", US_national_yearly!$D:$AM, 33, FALSE) / VLOOKUP("electricity|SO2|Non-fatal heart attacks", US_national_yearly!$D:$AM, 10, FALSE), 1)</f>
        <v>7.7529635772632152E-4</v>
      </c>
      <c r="Z13" s="7">
        <f>$B13 * IFERROR(VLOOKUP("electricity|SO2|Non-fatal heart attacks", US_national_yearly!$D:$AM, 34, FALSE) / VLOOKUP("electricity|SO2|Non-fatal heart attacks", US_national_yearly!$D:$AM, 10, FALSE), 1)</f>
        <v>7.7873236676877927E-4</v>
      </c>
      <c r="AA13" s="7">
        <f>$B13 * IFERROR(VLOOKUP("electricity|SO2|Non-fatal heart attacks", US_national_yearly!$D:$AM, 35, FALSE) / VLOOKUP("electricity|SO2|Non-fatal heart attacks", US_national_yearly!$D:$AM, 10, FALSE), 1)</f>
        <v>7.8216837581123703E-4</v>
      </c>
      <c r="AB13" s="7">
        <f>$B13 * IFERROR(VLOOKUP("electricity|SO2|Non-fatal heart attacks", US_national_yearly!$D:$AM, 36, FALSE) / VLOOKUP("electricity|SO2|Non-fatal heart attacks", US_national_yearly!$D:$AM, 10, FALSE), 1)</f>
        <v>7.8560438485369489E-4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0.34963051523355521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0.35050911999290046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0.35138772475224578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0.35226632951159115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0.35314493427093635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0.3544143281995818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0.35568372212822724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0.35786083044799794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0.36003793876776868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0.36221504708753932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0.36439215540731013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0.36656926372708082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0.36956745636113664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0.3725656489951924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0.37556384162924822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0.37856203426330404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0.3815602268973598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0.38463384703812664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0.38770746717889343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0.3907810873196601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0.39385470746042694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0.39692832760119373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0.39963277646416695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0.40233722532714017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0.40504167419011333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0.40774612305308655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0.41045057191605977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5.8835819806123749E-2</v>
      </c>
      <c r="C15" s="7">
        <f>$B15 * IFERROR(VLOOKUP("electricity|SO2|Work loss days", US_national_yearly!$D:$AM, 11, FALSE) / VLOOKUP("electricity|SO2|Work loss days", US_national_yearly!$D:$AM, 10, FALSE), 1)</f>
        <v>5.9026331970037794E-2</v>
      </c>
      <c r="D15" s="7">
        <f>$B15 * IFERROR(VLOOKUP("electricity|SO2|Work loss days", US_national_yearly!$D:$AM, 12, FALSE) / VLOOKUP("electricity|SO2|Work loss days", US_national_yearly!$D:$AM, 10, FALSE), 1)</f>
        <v>5.9216844133951847E-2</v>
      </c>
      <c r="E15" s="7">
        <f>$B15 * IFERROR(VLOOKUP("electricity|SO2|Work loss days", US_national_yearly!$D:$AM, 13, FALSE) / VLOOKUP("electricity|SO2|Work loss days", US_national_yearly!$D:$AM, 10, FALSE), 1)</f>
        <v>5.9407356297865907E-2</v>
      </c>
      <c r="F15" s="7">
        <f>$B15 * IFERROR(VLOOKUP("electricity|SO2|Work loss days", US_national_yearly!$D:$AM, 14, FALSE) / VLOOKUP("electricity|SO2|Work loss days", US_national_yearly!$D:$AM, 10, FALSE), 1)</f>
        <v>5.959786846177996E-2</v>
      </c>
      <c r="G15" s="7">
        <f>$B15 * IFERROR(VLOOKUP("electricity|SO2|Work loss days", US_national_yearly!$D:$AM, 15, FALSE) / VLOOKUP("electricity|SO2|Work loss days", US_national_yearly!$D:$AM, 10, FALSE), 1)</f>
        <v>5.9841926348639767E-2</v>
      </c>
      <c r="H15" s="7">
        <f>$B15 * IFERROR(VLOOKUP("electricity|SO2|Work loss days", US_national_yearly!$D:$AM, 16, FALSE) / VLOOKUP("electricity|SO2|Work loss days", US_national_yearly!$D:$AM, 10, FALSE), 1)</f>
        <v>6.0085984235499573E-2</v>
      </c>
      <c r="I15" s="7">
        <f>$B15 * IFERROR(VLOOKUP("electricity|SO2|Work loss days", US_national_yearly!$D:$AM, 17, FALSE) / VLOOKUP("electricity|SO2|Work loss days", US_national_yearly!$D:$AM, 10, FALSE), 1)</f>
        <v>6.0443069632275005E-2</v>
      </c>
      <c r="J15" s="7">
        <f>$B15 * IFERROR(VLOOKUP("electricity|SO2|Work loss days", US_national_yearly!$D:$AM, 18, FALSE) / VLOOKUP("electricity|SO2|Work loss days", US_national_yearly!$D:$AM, 10, FALSE), 1)</f>
        <v>6.080015502905043E-2</v>
      </c>
      <c r="K15" s="7">
        <f>$B15 * IFERROR(VLOOKUP("electricity|SO2|Work loss days", US_national_yearly!$D:$AM, 19, FALSE) / VLOOKUP("electricity|SO2|Work loss days", US_national_yearly!$D:$AM, 10, FALSE), 1)</f>
        <v>6.1157240425825876E-2</v>
      </c>
      <c r="L15" s="7">
        <f>$B15 * IFERROR(VLOOKUP("electricity|SO2|Work loss days", US_national_yearly!$D:$AM, 20, FALSE) / VLOOKUP("electricity|SO2|Work loss days", US_national_yearly!$D:$AM, 10, FALSE), 1)</f>
        <v>6.1514325822601294E-2</v>
      </c>
      <c r="M15" s="7">
        <f>$B15 * IFERROR(VLOOKUP("electricity|SO2|Work loss days", US_national_yearly!$D:$AM, 21, FALSE) / VLOOKUP("electricity|SO2|Work loss days", US_national_yearly!$D:$AM, 10, FALSE), 1)</f>
        <v>6.1871411219376747E-2</v>
      </c>
      <c r="N15" s="7">
        <f>$B15 * IFERROR(VLOOKUP("electricity|SO2|Work loss days", US_national_yearly!$D:$AM, 22, FALSE) / VLOOKUP("electricity|SO2|Work loss days", US_national_yearly!$D:$AM, 10, FALSE), 1)</f>
        <v>6.2323213051379375E-2</v>
      </c>
      <c r="O15" s="7">
        <f>$B15 * IFERROR(VLOOKUP("electricity|SO2|Work loss days", US_national_yearly!$D:$AM, 23, FALSE) / VLOOKUP("electricity|SO2|Work loss days", US_national_yearly!$D:$AM, 10, FALSE), 1)</f>
        <v>6.2775014883382024E-2</v>
      </c>
      <c r="P15" s="7">
        <f>$B15 * IFERROR(VLOOKUP("electricity|SO2|Work loss days", US_national_yearly!$D:$AM, 24, FALSE) / VLOOKUP("electricity|SO2|Work loss days", US_national_yearly!$D:$AM, 10, FALSE), 1)</f>
        <v>6.3226816715384673E-2</v>
      </c>
      <c r="Q15" s="7">
        <f>$B15 * IFERROR(VLOOKUP("electricity|SO2|Work loss days", US_national_yearly!$D:$AM, 25, FALSE) / VLOOKUP("electricity|SO2|Work loss days", US_national_yearly!$D:$AM, 10, FALSE), 1)</f>
        <v>6.3678618547387295E-2</v>
      </c>
      <c r="R15" s="7">
        <f>$B15 * IFERROR(VLOOKUP("electricity|SO2|Work loss days", US_national_yearly!$D:$AM, 26, FALSE) / VLOOKUP("electricity|SO2|Work loss days", US_national_yearly!$D:$AM, 10, FALSE), 1)</f>
        <v>6.4130420379389944E-2</v>
      </c>
      <c r="S15" s="7">
        <f>$B15 * IFERROR(VLOOKUP("electricity|SO2|Work loss days", US_national_yearly!$D:$AM, 27, FALSE) / VLOOKUP("electricity|SO2|Work loss days", US_national_yearly!$D:$AM, 10, FALSE), 1)</f>
        <v>6.4636932393885058E-2</v>
      </c>
      <c r="T15" s="7">
        <f>$B15 * IFERROR(VLOOKUP("electricity|SO2|Work loss days", US_national_yearly!$D:$AM, 28, FALSE) / VLOOKUP("electricity|SO2|Work loss days", US_national_yearly!$D:$AM, 10, FALSE), 1)</f>
        <v>6.5143444408380186E-2</v>
      </c>
      <c r="U15" s="7">
        <f>$B15 * IFERROR(VLOOKUP("electricity|SO2|Work loss days", US_national_yearly!$D:$AM, 29, FALSE) / VLOOKUP("electricity|SO2|Work loss days", US_national_yearly!$D:$AM, 10, FALSE), 1)</f>
        <v>6.5649956422875314E-2</v>
      </c>
      <c r="V15" s="7">
        <f>$B15 * IFERROR(VLOOKUP("electricity|SO2|Work loss days", US_national_yearly!$D:$AM, 30, FALSE) / VLOOKUP("electricity|SO2|Work loss days", US_national_yearly!$D:$AM, 10, FALSE), 1)</f>
        <v>6.6156468437370441E-2</v>
      </c>
      <c r="W15" s="7">
        <f>$B15 * IFERROR(VLOOKUP("electricity|SO2|Work loss days", US_national_yearly!$D:$AM, 31, FALSE) / VLOOKUP("electricity|SO2|Work loss days", US_national_yearly!$D:$AM, 10, FALSE), 1)</f>
        <v>6.6662980451865569E-2</v>
      </c>
      <c r="X15" s="7">
        <f>$B15 * IFERROR(VLOOKUP("electricity|SO2|Work loss days", US_national_yearly!$D:$AM, 32, FALSE) / VLOOKUP("electricity|SO2|Work loss days", US_national_yearly!$D:$AM, 10, FALSE), 1)</f>
        <v>6.7119297679912357E-2</v>
      </c>
      <c r="Y15" s="7">
        <f>$B15 * IFERROR(VLOOKUP("electricity|SO2|Work loss days", US_national_yearly!$D:$AM, 33, FALSE) / VLOOKUP("electricity|SO2|Work loss days", US_national_yearly!$D:$AM, 10, FALSE), 1)</f>
        <v>6.7575614907959144E-2</v>
      </c>
      <c r="Z15" s="7">
        <f>$B15 * IFERROR(VLOOKUP("electricity|SO2|Work loss days", US_national_yearly!$D:$AM, 34, FALSE) / VLOOKUP("electricity|SO2|Work loss days", US_national_yearly!$D:$AM, 10, FALSE), 1)</f>
        <v>6.8031932136005918E-2</v>
      </c>
      <c r="AA15" s="7">
        <f>$B15 * IFERROR(VLOOKUP("electricity|SO2|Work loss days", US_national_yearly!$D:$AM, 35, FALSE) / VLOOKUP("electricity|SO2|Work loss days", US_national_yearly!$D:$AM, 10, FALSE), 1)</f>
        <v>6.8488249364052706E-2</v>
      </c>
      <c r="AB15" s="7">
        <f>$B15 * IFERROR(VLOOKUP("electricity|SO2|Work loss days", US_national_yearly!$D:$AM, 36, FALSE) / VLOOKUP("electricity|SO2|Work loss days", US_national_yearly!$D:$AM, 10, FALSE), 1)</f>
        <v>6.8944566592099493E-2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1.2064756379357961E-4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1.2430352035527773E-4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1.2795947691697585E-4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1.3161543347867401E-4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1.3527139004037211E-4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1.3879549920263142E-4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1.4231960836489074E-4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1.4537057253402185E-4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1.4842153670315296E-4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1.5147250087228407E-4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1.5452346504141515E-4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1.5757442921054626E-4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1.596567041217527E-4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1.6173897903295914E-4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1.6382125394416564E-4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1.6590352885537208E-4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1.6798580376657852E-4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1.6912734501886172E-4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1.7026888627114488E-4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1.7141042752342808E-4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1.7255196877571124E-4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1.7369351002799441E-4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1.7448150205162587E-4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1.752694940752573E-4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1.7605748609888873E-4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1.7684547812252016E-4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1.7763347014615162E-4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4.9468856992054944E-2</v>
      </c>
      <c r="C2" s="7">
        <f>$B2 * IFERROR(VLOOKUP("buildings|PM25|Premature mortality", US_national_yearly!$D:$AM, 11, FALSE) / VLOOKUP("buildings|PM25|Premature mortality", US_national_yearly!$D:$AM, 10, FALSE), 1)</f>
        <v>5.0082606633912445E-2</v>
      </c>
      <c r="D2" s="7">
        <f>$B2 * IFERROR(VLOOKUP("buildings|PM25|Premature mortality", US_national_yearly!$D:$AM, 12, FALSE) / VLOOKUP("buildings|PM25|Premature mortality", US_national_yearly!$D:$AM, 10, FALSE), 1)</f>
        <v>5.069635627576994E-2</v>
      </c>
      <c r="E2" s="7">
        <f>$B2 * IFERROR(VLOOKUP("buildings|PM25|Premature mortality", US_national_yearly!$D:$AM, 13, FALSE) / VLOOKUP("buildings|PM25|Premature mortality", US_national_yearly!$D:$AM, 10, FALSE), 1)</f>
        <v>5.1310105917627441E-2</v>
      </c>
      <c r="F2" s="7">
        <f>$B2 * IFERROR(VLOOKUP("buildings|PM25|Premature mortality", US_national_yearly!$D:$AM, 14, FALSE) / VLOOKUP("buildings|PM25|Premature mortality", US_national_yearly!$D:$AM, 10, FALSE), 1)</f>
        <v>5.1923855559484942E-2</v>
      </c>
      <c r="G2" s="7">
        <f>$B2 * IFERROR(VLOOKUP("buildings|PM25|Premature mortality", US_national_yearly!$D:$AM, 15, FALSE) / VLOOKUP("buildings|PM25|Premature mortality", US_national_yearly!$D:$AM, 10, FALSE), 1)</f>
        <v>5.3118951974481493E-2</v>
      </c>
      <c r="H2" s="7">
        <f>$B2 * IFERROR(VLOOKUP("buildings|PM25|Premature mortality", US_national_yearly!$D:$AM, 16, FALSE) / VLOOKUP("buildings|PM25|Premature mortality", US_national_yearly!$D:$AM, 10, FALSE), 1)</f>
        <v>5.4314048389478037E-2</v>
      </c>
      <c r="I2" s="7">
        <f>$B2 * IFERROR(VLOOKUP("buildings|PM25|Premature mortality", US_national_yearly!$D:$AM, 17, FALSE) / VLOOKUP("buildings|PM25|Premature mortality", US_national_yearly!$D:$AM, 10, FALSE), 1)</f>
        <v>5.5100042717238146E-2</v>
      </c>
      <c r="J2" s="7">
        <f>$B2 * IFERROR(VLOOKUP("buildings|PM25|Premature mortality", US_national_yearly!$D:$AM, 18, FALSE) / VLOOKUP("buildings|PM25|Premature mortality", US_national_yearly!$D:$AM, 10, FALSE), 1)</f>
        <v>5.5886037044998255E-2</v>
      </c>
      <c r="K2" s="7">
        <f>$B2 * IFERROR(VLOOKUP("buildings|PM25|Premature mortality", US_national_yearly!$D:$AM, 19, FALSE) / VLOOKUP("buildings|PM25|Premature mortality", US_national_yearly!$D:$AM, 10, FALSE), 1)</f>
        <v>5.6672031372758357E-2</v>
      </c>
      <c r="L2" s="7">
        <f>$B2 * IFERROR(VLOOKUP("buildings|PM25|Premature mortality", US_national_yearly!$D:$AM, 20, FALSE) / VLOOKUP("buildings|PM25|Premature mortality", US_national_yearly!$D:$AM, 10, FALSE), 1)</f>
        <v>5.7458025700518466E-2</v>
      </c>
      <c r="M2" s="7">
        <f>$B2 * IFERROR(VLOOKUP("buildings|PM25|Premature mortality", US_national_yearly!$D:$AM, 21, FALSE) / VLOOKUP("buildings|PM25|Premature mortality", US_national_yearly!$D:$AM, 10, FALSE), 1)</f>
        <v>5.8244020028278574E-2</v>
      </c>
      <c r="N2" s="7">
        <f>$B2 * IFERROR(VLOOKUP("buildings|PM25|Premature mortality", US_national_yearly!$D:$AM, 22, FALSE) / VLOOKUP("buildings|PM25|Premature mortality", US_national_yearly!$D:$AM, 10, FALSE), 1)</f>
        <v>5.8855217974946007E-2</v>
      </c>
      <c r="O2" s="7">
        <f>$B2 * IFERROR(VLOOKUP("buildings|PM25|Premature mortality", US_national_yearly!$D:$AM, 23, FALSE) / VLOOKUP("buildings|PM25|Premature mortality", US_national_yearly!$D:$AM, 10, FALSE), 1)</f>
        <v>5.9466415921613447E-2</v>
      </c>
      <c r="P2" s="7">
        <f>$B2 * IFERROR(VLOOKUP("buildings|PM25|Premature mortality", US_national_yearly!$D:$AM, 24, FALSE) / VLOOKUP("buildings|PM25|Premature mortality", US_national_yearly!$D:$AM, 10, FALSE), 1)</f>
        <v>6.0077613868280887E-2</v>
      </c>
      <c r="Q2" s="7">
        <f>$B2 * IFERROR(VLOOKUP("buildings|PM25|Premature mortality", US_national_yearly!$D:$AM, 25, FALSE) / VLOOKUP("buildings|PM25|Premature mortality", US_national_yearly!$D:$AM, 10, FALSE), 1)</f>
        <v>6.068881181494834E-2</v>
      </c>
      <c r="R2" s="7">
        <f>$B2 * IFERROR(VLOOKUP("buildings|PM25|Premature mortality", US_national_yearly!$D:$AM, 26, FALSE) / VLOOKUP("buildings|PM25|Premature mortality", US_national_yearly!$D:$AM, 10, FALSE), 1)</f>
        <v>6.1300009761615773E-2</v>
      </c>
      <c r="S2" s="7">
        <f>$B2 * IFERROR(VLOOKUP("buildings|PM25|Premature mortality", US_national_yearly!$D:$AM, 27, FALSE) / VLOOKUP("buildings|PM25|Premature mortality", US_national_yearly!$D:$AM, 10, FALSE), 1)</f>
        <v>6.1624867541224003E-2</v>
      </c>
      <c r="T2" s="7">
        <f>$B2 * IFERROR(VLOOKUP("buildings|PM25|Premature mortality", US_national_yearly!$D:$AM, 28, FALSE) / VLOOKUP("buildings|PM25|Premature mortality", US_national_yearly!$D:$AM, 10, FALSE), 1)</f>
        <v>6.1949725320832254E-2</v>
      </c>
      <c r="U2" s="7">
        <f>$B2 * IFERROR(VLOOKUP("buildings|PM25|Premature mortality", US_national_yearly!$D:$AM, 29, FALSE) / VLOOKUP("buildings|PM25|Premature mortality", US_national_yearly!$D:$AM, 10, FALSE), 1)</f>
        <v>6.2274583100440498E-2</v>
      </c>
      <c r="V2" s="7">
        <f>$B2 * IFERROR(VLOOKUP("buildings|PM25|Premature mortality", US_national_yearly!$D:$AM, 30, FALSE) / VLOOKUP("buildings|PM25|Premature mortality", US_national_yearly!$D:$AM, 10, FALSE), 1)</f>
        <v>6.2599440880048735E-2</v>
      </c>
      <c r="W2" s="7">
        <f>$B2 * IFERROR(VLOOKUP("buildings|PM25|Premature mortality", US_national_yearly!$D:$AM, 31, FALSE) / VLOOKUP("buildings|PM25|Premature mortality", US_national_yearly!$D:$AM, 10, FALSE), 1)</f>
        <v>6.2924298659656971E-2</v>
      </c>
      <c r="X2" s="7">
        <f>$B2 * IFERROR(VLOOKUP("buildings|PM25|Premature mortality", US_national_yearly!$D:$AM, 32, FALSE) / VLOOKUP("buildings|PM25|Premature mortality", US_national_yearly!$D:$AM, 10, FALSE), 1)</f>
        <v>6.2982608023084696E-2</v>
      </c>
      <c r="Y2" s="7">
        <f>$B2 * IFERROR(VLOOKUP("buildings|PM25|Premature mortality", US_national_yearly!$D:$AM, 33, FALSE) / VLOOKUP("buildings|PM25|Premature mortality", US_national_yearly!$D:$AM, 10, FALSE), 1)</f>
        <v>6.3040917386512407E-2</v>
      </c>
      <c r="Z2" s="7">
        <f>$B2 * IFERROR(VLOOKUP("buildings|PM25|Premature mortality", US_national_yearly!$D:$AM, 34, FALSE) / VLOOKUP("buildings|PM25|Premature mortality", US_national_yearly!$D:$AM, 10, FALSE), 1)</f>
        <v>6.3099226749940146E-2</v>
      </c>
      <c r="AA2" s="7">
        <f>$B2 * IFERROR(VLOOKUP("buildings|PM25|Premature mortality", US_national_yearly!$D:$AM, 35, FALSE) / VLOOKUP("buildings|PM25|Premature mortality", US_national_yearly!$D:$AM, 10, FALSE), 1)</f>
        <v>6.3157536113367871E-2</v>
      </c>
      <c r="AB2" s="7">
        <f>$B2 * IFERROR(VLOOKUP("buildings|PM25|Premature mortality", US_national_yearly!$D:$AM, 36, FALSE) / VLOOKUP("buildings|PM25|Premature mortality", US_national_yearly!$D:$AM, 10, FALSE), 1)</f>
        <v>6.3215845476795582E-2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1.2275848232558818E-4</v>
      </c>
      <c r="C3" s="7">
        <f>$B3 * IFERROR(VLOOKUP("buildings|PM25|Infant mortality", US_national_yearly!$D:$AM, 11, FALSE) / VLOOKUP("buildings|PM25|Infant mortality", US_national_yearly!$D:$AM, 10, FALSE), 1)</f>
        <v>1.2169519528817209E-4</v>
      </c>
      <c r="D3" s="7">
        <f>$B3 * IFERROR(VLOOKUP("buildings|PM25|Infant mortality", US_national_yearly!$D:$AM, 12, FALSE) / VLOOKUP("buildings|PM25|Infant mortality", US_national_yearly!$D:$AM, 10, FALSE), 1)</f>
        <v>1.2063190825075599E-4</v>
      </c>
      <c r="E3" s="7">
        <f>$B3 * IFERROR(VLOOKUP("buildings|PM25|Infant mortality", US_national_yearly!$D:$AM, 13, FALSE) / VLOOKUP("buildings|PM25|Infant mortality", US_national_yearly!$D:$AM, 10, FALSE), 1)</f>
        <v>1.195686212133399E-4</v>
      </c>
      <c r="F3" s="7">
        <f>$B3 * IFERROR(VLOOKUP("buildings|PM25|Infant mortality", US_national_yearly!$D:$AM, 14, FALSE) / VLOOKUP("buildings|PM25|Infant mortality", US_national_yearly!$D:$AM, 10, FALSE), 1)</f>
        <v>1.1850533417592382E-4</v>
      </c>
      <c r="G3" s="7">
        <f>$B3 * IFERROR(VLOOKUP("buildings|PM25|Infant mortality", US_national_yearly!$D:$AM, 15, FALSE) / VLOOKUP("buildings|PM25|Infant mortality", US_national_yearly!$D:$AM, 10, FALSE), 1)</f>
        <v>7.8801747951206009E-5</v>
      </c>
      <c r="H3" s="7">
        <f>$B3 * IFERROR(VLOOKUP("buildings|PM25|Infant mortality", US_national_yearly!$D:$AM, 16, FALSE) / VLOOKUP("buildings|PM25|Infant mortality", US_national_yearly!$D:$AM, 10, FALSE), 1)</f>
        <v>3.9098161726488217E-5</v>
      </c>
      <c r="I3" s="7">
        <f>$B3 * IFERROR(VLOOKUP("buildings|PM25|Infant mortality", US_national_yearly!$D:$AM, 17, FALSE) / VLOOKUP("buildings|PM25|Infant mortality", US_national_yearly!$D:$AM, 10, FALSE), 1)</f>
        <v>3.8843382245258375E-5</v>
      </c>
      <c r="J3" s="7">
        <f>$B3 * IFERROR(VLOOKUP("buildings|PM25|Infant mortality", US_national_yearly!$D:$AM, 18, FALSE) / VLOOKUP("buildings|PM25|Infant mortality", US_national_yearly!$D:$AM, 10, FALSE), 1)</f>
        <v>3.8588602764028534E-5</v>
      </c>
      <c r="K3" s="7">
        <f>$B3 * IFERROR(VLOOKUP("buildings|PM25|Infant mortality", US_national_yearly!$D:$AM, 19, FALSE) / VLOOKUP("buildings|PM25|Infant mortality", US_national_yearly!$D:$AM, 10, FALSE), 1)</f>
        <v>3.8333823282798692E-5</v>
      </c>
      <c r="L3" s="7">
        <f>$B3 * IFERROR(VLOOKUP("buildings|PM25|Infant mortality", US_national_yearly!$D:$AM, 20, FALSE) / VLOOKUP("buildings|PM25|Infant mortality", US_national_yearly!$D:$AM, 10, FALSE), 1)</f>
        <v>3.8079043801568857E-5</v>
      </c>
      <c r="M3" s="7">
        <f>$B3 * IFERROR(VLOOKUP("buildings|PM25|Infant mortality", US_national_yearly!$D:$AM, 21, FALSE) / VLOOKUP("buildings|PM25|Infant mortality", US_national_yearly!$D:$AM, 10, FALSE), 1)</f>
        <v>3.7824264320339015E-5</v>
      </c>
      <c r="N3" s="7">
        <f>$B3 * IFERROR(VLOOKUP("buildings|PM25|Infant mortality", US_national_yearly!$D:$AM, 22, FALSE) / VLOOKUP("buildings|PM25|Infant mortality", US_national_yearly!$D:$AM, 10, FALSE), 1)</f>
        <v>3.7664849892352286E-5</v>
      </c>
      <c r="O3" s="7">
        <f>$B3 * IFERROR(VLOOKUP("buildings|PM25|Infant mortality", US_national_yearly!$D:$AM, 23, FALSE) / VLOOKUP("buildings|PM25|Infant mortality", US_national_yearly!$D:$AM, 10, FALSE), 1)</f>
        <v>3.7505435464365563E-5</v>
      </c>
      <c r="P3" s="7">
        <f>$B3 * IFERROR(VLOOKUP("buildings|PM25|Infant mortality", US_national_yearly!$D:$AM, 24, FALSE) / VLOOKUP("buildings|PM25|Infant mortality", US_national_yearly!$D:$AM, 10, FALSE), 1)</f>
        <v>3.7346021036378834E-5</v>
      </c>
      <c r="Q3" s="7">
        <f>$B3 * IFERROR(VLOOKUP("buildings|PM25|Infant mortality", US_national_yearly!$D:$AM, 25, FALSE) / VLOOKUP("buildings|PM25|Infant mortality", US_national_yearly!$D:$AM, 10, FALSE), 1)</f>
        <v>3.7186606608392104E-5</v>
      </c>
      <c r="R3" s="7">
        <f>$B3 * IFERROR(VLOOKUP("buildings|PM25|Infant mortality", US_national_yearly!$D:$AM, 26, FALSE) / VLOOKUP("buildings|PM25|Infant mortality", US_national_yearly!$D:$AM, 10, FALSE), 1)</f>
        <v>3.7027192180405382E-5</v>
      </c>
      <c r="S3" s="7">
        <f>$B3 * IFERROR(VLOOKUP("buildings|PM25|Infant mortality", US_national_yearly!$D:$AM, 27, FALSE) / VLOOKUP("buildings|PM25|Infant mortality", US_national_yearly!$D:$AM, 10, FALSE), 1)</f>
        <v>3.6828152305316302E-5</v>
      </c>
      <c r="T3" s="7">
        <f>$B3 * IFERROR(VLOOKUP("buildings|PM25|Infant mortality", US_national_yearly!$D:$AM, 28, FALSE) / VLOOKUP("buildings|PM25|Infant mortality", US_national_yearly!$D:$AM, 10, FALSE), 1)</f>
        <v>3.6629112430227222E-5</v>
      </c>
      <c r="U3" s="7">
        <f>$B3 * IFERROR(VLOOKUP("buildings|PM25|Infant mortality", US_national_yearly!$D:$AM, 29, FALSE) / VLOOKUP("buildings|PM25|Infant mortality", US_national_yearly!$D:$AM, 10, FALSE), 1)</f>
        <v>3.6430072555138135E-5</v>
      </c>
      <c r="V3" s="7">
        <f>$B3 * IFERROR(VLOOKUP("buildings|PM25|Infant mortality", US_national_yearly!$D:$AM, 30, FALSE) / VLOOKUP("buildings|PM25|Infant mortality", US_national_yearly!$D:$AM, 10, FALSE), 1)</f>
        <v>3.6231032680049062E-5</v>
      </c>
      <c r="W3" s="7">
        <f>$B3 * IFERROR(VLOOKUP("buildings|PM25|Infant mortality", US_national_yearly!$D:$AM, 31, FALSE) / VLOOKUP("buildings|PM25|Infant mortality", US_national_yearly!$D:$AM, 10, FALSE), 1)</f>
        <v>3.6031992804959982E-5</v>
      </c>
      <c r="X3" s="7">
        <f>$B3 * IFERROR(VLOOKUP("buildings|PM25|Infant mortality", US_national_yearly!$D:$AM, 32, FALSE) / VLOOKUP("buildings|PM25|Infant mortality", US_national_yearly!$D:$AM, 10, FALSE), 1)</f>
        <v>3.5817700752279723E-5</v>
      </c>
      <c r="Y3" s="7">
        <f>$B3 * IFERROR(VLOOKUP("buildings|PM25|Infant mortality", US_national_yearly!$D:$AM, 33, FALSE) / VLOOKUP("buildings|PM25|Infant mortality", US_national_yearly!$D:$AM, 10, FALSE), 1)</f>
        <v>3.5603408699599477E-5</v>
      </c>
      <c r="Z3" s="7">
        <f>$B3 * IFERROR(VLOOKUP("buildings|PM25|Infant mortality", US_national_yearly!$D:$AM, 34, FALSE) / VLOOKUP("buildings|PM25|Infant mortality", US_national_yearly!$D:$AM, 10, FALSE), 1)</f>
        <v>3.5389116646919225E-5</v>
      </c>
      <c r="AA3" s="7">
        <f>$B3 * IFERROR(VLOOKUP("buildings|PM25|Infant mortality", US_national_yearly!$D:$AM, 35, FALSE) / VLOOKUP("buildings|PM25|Infant mortality", US_national_yearly!$D:$AM, 10, FALSE), 1)</f>
        <v>3.5174824594238973E-5</v>
      </c>
      <c r="AB3" s="7">
        <f>$B3 * IFERROR(VLOOKUP("buildings|PM25|Infant mortality", US_national_yearly!$D:$AM, 36, FALSE) / VLOOKUP("buildings|PM25|Infant mortality", US_national_yearly!$D:$AM, 10, FALSE), 1)</f>
        <v>3.4960532541558727E-5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0.1091574928050177</v>
      </c>
      <c r="C6" s="7">
        <f>$B6 * IFERROR(VLOOKUP("buildings|PM25|Asthma symptoms cough", US_national_yearly!$D:$AM, 11, FALSE) / VLOOKUP("buildings|PM25|Asthma symptoms cough", US_national_yearly!$D:$AM, 10, FALSE), 1)</f>
        <v>0.1091574928050177</v>
      </c>
      <c r="D6" s="7">
        <f>$B6 * IFERROR(VLOOKUP("buildings|PM25|Asthma symptoms cough", US_national_yearly!$D:$AM, 12, FALSE) / VLOOKUP("buildings|PM25|Asthma symptoms cough", US_national_yearly!$D:$AM, 10, FALSE), 1)</f>
        <v>0.1091574928050177</v>
      </c>
      <c r="E6" s="7">
        <f>$B6 * IFERROR(VLOOKUP("buildings|PM25|Asthma symptoms cough", US_national_yearly!$D:$AM, 13, FALSE) / VLOOKUP("buildings|PM25|Asthma symptoms cough", US_national_yearly!$D:$AM, 10, FALSE), 1)</f>
        <v>0.1091574928050177</v>
      </c>
      <c r="F6" s="7">
        <f>$B6 * IFERROR(VLOOKUP("buildings|PM25|Asthma symptoms cough", US_national_yearly!$D:$AM, 14, FALSE) / VLOOKUP("buildings|PM25|Asthma symptoms cough", US_national_yearly!$D:$AM, 10, FALSE), 1)</f>
        <v>0.1091574928050177</v>
      </c>
      <c r="G6" s="7">
        <f>$B6 * IFERROR(VLOOKUP("buildings|PM25|Asthma symptoms cough", US_national_yearly!$D:$AM, 15, FALSE) / VLOOKUP("buildings|PM25|Asthma symptoms cough", US_national_yearly!$D:$AM, 10, FALSE), 1)</f>
        <v>0.1091574928050177</v>
      </c>
      <c r="H6" s="7">
        <f>$B6 * IFERROR(VLOOKUP("buildings|PM25|Asthma symptoms cough", US_national_yearly!$D:$AM, 16, FALSE) / VLOOKUP("buildings|PM25|Asthma symptoms cough", US_national_yearly!$D:$AM, 10, FALSE), 1)</f>
        <v>0.1091574928050177</v>
      </c>
      <c r="I6" s="7">
        <f>$B6 * IFERROR(VLOOKUP("buildings|PM25|Asthma symptoms cough", US_national_yearly!$D:$AM, 17, FALSE) / VLOOKUP("buildings|PM25|Asthma symptoms cough", US_national_yearly!$D:$AM, 10, FALSE), 1)</f>
        <v>0.1091574928050177</v>
      </c>
      <c r="J6" s="7">
        <f>$B6 * IFERROR(VLOOKUP("buildings|PM25|Asthma symptoms cough", US_national_yearly!$D:$AM, 18, FALSE) / VLOOKUP("buildings|PM25|Asthma symptoms cough", US_national_yearly!$D:$AM, 10, FALSE), 1)</f>
        <v>0.1091574928050177</v>
      </c>
      <c r="K6" s="7">
        <f>$B6 * IFERROR(VLOOKUP("buildings|PM25|Asthma symptoms cough", US_national_yearly!$D:$AM, 19, FALSE) / VLOOKUP("buildings|PM25|Asthma symptoms cough", US_national_yearly!$D:$AM, 10, FALSE), 1)</f>
        <v>0.1091574928050177</v>
      </c>
      <c r="L6" s="7">
        <f>$B6 * IFERROR(VLOOKUP("buildings|PM25|Asthma symptoms cough", US_national_yearly!$D:$AM, 20, FALSE) / VLOOKUP("buildings|PM25|Asthma symptoms cough", US_national_yearly!$D:$AM, 10, FALSE), 1)</f>
        <v>0.1091574928050177</v>
      </c>
      <c r="M6" s="7">
        <f>$B6 * IFERROR(VLOOKUP("buildings|PM25|Asthma symptoms cough", US_national_yearly!$D:$AM, 21, FALSE) / VLOOKUP("buildings|PM25|Asthma symptoms cough", US_national_yearly!$D:$AM, 10, FALSE), 1)</f>
        <v>0.1091574928050177</v>
      </c>
      <c r="N6" s="7">
        <f>$B6 * IFERROR(VLOOKUP("buildings|PM25|Asthma symptoms cough", US_national_yearly!$D:$AM, 22, FALSE) / VLOOKUP("buildings|PM25|Asthma symptoms cough", US_national_yearly!$D:$AM, 10, FALSE), 1)</f>
        <v>0.1091574928050177</v>
      </c>
      <c r="O6" s="7">
        <f>$B6 * IFERROR(VLOOKUP("buildings|PM25|Asthma symptoms cough", US_national_yearly!$D:$AM, 23, FALSE) / VLOOKUP("buildings|PM25|Asthma symptoms cough", US_national_yearly!$D:$AM, 10, FALSE), 1)</f>
        <v>0.1091574928050177</v>
      </c>
      <c r="P6" s="7">
        <f>$B6 * IFERROR(VLOOKUP("buildings|PM25|Asthma symptoms cough", US_national_yearly!$D:$AM, 24, FALSE) / VLOOKUP("buildings|PM25|Asthma symptoms cough", US_national_yearly!$D:$AM, 10, FALSE), 1)</f>
        <v>0.1091574928050177</v>
      </c>
      <c r="Q6" s="7">
        <f>$B6 * IFERROR(VLOOKUP("buildings|PM25|Asthma symptoms cough", US_national_yearly!$D:$AM, 25, FALSE) / VLOOKUP("buildings|PM25|Asthma symptoms cough", US_national_yearly!$D:$AM, 10, FALSE), 1)</f>
        <v>0.1091574928050177</v>
      </c>
      <c r="R6" s="7">
        <f>$B6 * IFERROR(VLOOKUP("buildings|PM25|Asthma symptoms cough", US_national_yearly!$D:$AM, 26, FALSE) / VLOOKUP("buildings|PM25|Asthma symptoms cough", US_national_yearly!$D:$AM, 10, FALSE), 1)</f>
        <v>0.1091574928050177</v>
      </c>
      <c r="S6" s="7">
        <f>$B6 * IFERROR(VLOOKUP("buildings|PM25|Asthma symptoms cough", US_national_yearly!$D:$AM, 27, FALSE) / VLOOKUP("buildings|PM25|Asthma symptoms cough", US_national_yearly!$D:$AM, 10, FALSE), 1)</f>
        <v>0.1091574928050177</v>
      </c>
      <c r="T6" s="7">
        <f>$B6 * IFERROR(VLOOKUP("buildings|PM25|Asthma symptoms cough", US_national_yearly!$D:$AM, 28, FALSE) / VLOOKUP("buildings|PM25|Asthma symptoms cough", US_national_yearly!$D:$AM, 10, FALSE), 1)</f>
        <v>0.1091574928050177</v>
      </c>
      <c r="U6" s="7">
        <f>$B6 * IFERROR(VLOOKUP("buildings|PM25|Asthma symptoms cough", US_national_yearly!$D:$AM, 29, FALSE) / VLOOKUP("buildings|PM25|Asthma symptoms cough", US_national_yearly!$D:$AM, 10, FALSE), 1)</f>
        <v>0.1091574928050177</v>
      </c>
      <c r="V6" s="7">
        <f>$B6 * IFERROR(VLOOKUP("buildings|PM25|Asthma symptoms cough", US_national_yearly!$D:$AM, 30, FALSE) / VLOOKUP("buildings|PM25|Asthma symptoms cough", US_national_yearly!$D:$AM, 10, FALSE), 1)</f>
        <v>0.1091574928050177</v>
      </c>
      <c r="W6" s="7">
        <f>$B6 * IFERROR(VLOOKUP("buildings|PM25|Asthma symptoms cough", US_national_yearly!$D:$AM, 31, FALSE) / VLOOKUP("buildings|PM25|Asthma symptoms cough", US_national_yearly!$D:$AM, 10, FALSE), 1)</f>
        <v>0.1091574928050177</v>
      </c>
      <c r="X6" s="7">
        <f>$B6 * IFERROR(VLOOKUP("buildings|PM25|Asthma symptoms cough", US_national_yearly!$D:$AM, 32, FALSE) / VLOOKUP("buildings|PM25|Asthma symptoms cough", US_national_yearly!$D:$AM, 10, FALSE), 1)</f>
        <v>0.1091574928050177</v>
      </c>
      <c r="Y6" s="7">
        <f>$B6 * IFERROR(VLOOKUP("buildings|PM25|Asthma symptoms cough", US_national_yearly!$D:$AM, 33, FALSE) / VLOOKUP("buildings|PM25|Asthma symptoms cough", US_national_yearly!$D:$AM, 10, FALSE), 1)</f>
        <v>0.1091574928050177</v>
      </c>
      <c r="Z6" s="7">
        <f>$B6 * IFERROR(VLOOKUP("buildings|PM25|Asthma symptoms cough", US_national_yearly!$D:$AM, 34, FALSE) / VLOOKUP("buildings|PM25|Asthma symptoms cough", US_national_yearly!$D:$AM, 10, FALSE), 1)</f>
        <v>0.1091574928050177</v>
      </c>
      <c r="AA6" s="7">
        <f>$B6 * IFERROR(VLOOKUP("buildings|PM25|Asthma symptoms cough", US_national_yearly!$D:$AM, 35, FALSE) / VLOOKUP("buildings|PM25|Asthma symptoms cough", US_national_yearly!$D:$AM, 10, FALSE), 1)</f>
        <v>0.1091574928050177</v>
      </c>
      <c r="AB6" s="7">
        <f>$B6 * IFERROR(VLOOKUP("buildings|PM25|Asthma symptoms cough", US_national_yearly!$D:$AM, 36, FALSE) / VLOOKUP("buildings|PM25|Asthma symptoms cough", US_national_yearly!$D:$AM, 10, FALSE), 1)</f>
        <v>0.1091574928050177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0.14699632121702008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0.14699632121702008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0.14699632121702008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0.14699632121702008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0.14699632121702008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0.14699632121702008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0.14699632121702008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0.14699632121702008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0.14699632121702008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0.14699632121702008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0.14699632121702008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0.14699632121702008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0.14699632121702008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0.14699632121702008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0.14699632121702008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0.14699632121702008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0.14699632121702008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0.14699632121702008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0.14699632121702008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0.14699632121702008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0.14699632121702008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0.14699632121702008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0.14699632121702008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0.14699632121702008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0.14699632121702008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0.14699632121702008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0.14699632121702008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0.2245857592998339</v>
      </c>
      <c r="C8" s="7">
        <f>$B8 * IFERROR(VLOOKUP("buildings|PM25|Asthma symptoms wheeze", US_national_yearly!$D:$AM, 11, FALSE) / VLOOKUP("buildings|PM25|Asthma symptoms wheeze", US_national_yearly!$D:$AM, 10, FALSE), 1)</f>
        <v>0.2245857592998339</v>
      </c>
      <c r="D8" s="7">
        <f>$B8 * IFERROR(VLOOKUP("buildings|PM25|Asthma symptoms wheeze", US_national_yearly!$D:$AM, 12, FALSE) / VLOOKUP("buildings|PM25|Asthma symptoms wheeze", US_national_yearly!$D:$AM, 10, FALSE), 1)</f>
        <v>0.2245857592998339</v>
      </c>
      <c r="E8" s="7">
        <f>$B8 * IFERROR(VLOOKUP("buildings|PM25|Asthma symptoms wheeze", US_national_yearly!$D:$AM, 13, FALSE) / VLOOKUP("buildings|PM25|Asthma symptoms wheeze", US_national_yearly!$D:$AM, 10, FALSE), 1)</f>
        <v>0.2245857592998339</v>
      </c>
      <c r="F8" s="7">
        <f>$B8 * IFERROR(VLOOKUP("buildings|PM25|Asthma symptoms wheeze", US_national_yearly!$D:$AM, 14, FALSE) / VLOOKUP("buildings|PM25|Asthma symptoms wheeze", US_national_yearly!$D:$AM, 10, FALSE), 1)</f>
        <v>0.2245857592998339</v>
      </c>
      <c r="G8" s="7">
        <f>$B8 * IFERROR(VLOOKUP("buildings|PM25|Asthma symptoms wheeze", US_national_yearly!$D:$AM, 15, FALSE) / VLOOKUP("buildings|PM25|Asthma symptoms wheeze", US_national_yearly!$D:$AM, 10, FALSE), 1)</f>
        <v>0.2245857592998339</v>
      </c>
      <c r="H8" s="7">
        <f>$B8 * IFERROR(VLOOKUP("buildings|PM25|Asthma symptoms wheeze", US_national_yearly!$D:$AM, 16, FALSE) / VLOOKUP("buildings|PM25|Asthma symptoms wheeze", US_national_yearly!$D:$AM, 10, FALSE), 1)</f>
        <v>0.2245857592998339</v>
      </c>
      <c r="I8" s="7">
        <f>$B8 * IFERROR(VLOOKUP("buildings|PM25|Asthma symptoms wheeze", US_national_yearly!$D:$AM, 17, FALSE) / VLOOKUP("buildings|PM25|Asthma symptoms wheeze", US_national_yearly!$D:$AM, 10, FALSE), 1)</f>
        <v>0.2245857592998339</v>
      </c>
      <c r="J8" s="7">
        <f>$B8 * IFERROR(VLOOKUP("buildings|PM25|Asthma symptoms wheeze", US_national_yearly!$D:$AM, 18, FALSE) / VLOOKUP("buildings|PM25|Asthma symptoms wheeze", US_national_yearly!$D:$AM, 10, FALSE), 1)</f>
        <v>0.2245857592998339</v>
      </c>
      <c r="K8" s="7">
        <f>$B8 * IFERROR(VLOOKUP("buildings|PM25|Asthma symptoms wheeze", US_national_yearly!$D:$AM, 19, FALSE) / VLOOKUP("buildings|PM25|Asthma symptoms wheeze", US_national_yearly!$D:$AM, 10, FALSE), 1)</f>
        <v>0.2245857592998339</v>
      </c>
      <c r="L8" s="7">
        <f>$B8 * IFERROR(VLOOKUP("buildings|PM25|Asthma symptoms wheeze", US_national_yearly!$D:$AM, 20, FALSE) / VLOOKUP("buildings|PM25|Asthma symptoms wheeze", US_national_yearly!$D:$AM, 10, FALSE), 1)</f>
        <v>0.2245857592998339</v>
      </c>
      <c r="M8" s="7">
        <f>$B8 * IFERROR(VLOOKUP("buildings|PM25|Asthma symptoms wheeze", US_national_yearly!$D:$AM, 21, FALSE) / VLOOKUP("buildings|PM25|Asthma symptoms wheeze", US_national_yearly!$D:$AM, 10, FALSE), 1)</f>
        <v>0.2245857592998339</v>
      </c>
      <c r="N8" s="7">
        <f>$B8 * IFERROR(VLOOKUP("buildings|PM25|Asthma symptoms wheeze", US_national_yearly!$D:$AM, 22, FALSE) / VLOOKUP("buildings|PM25|Asthma symptoms wheeze", US_national_yearly!$D:$AM, 10, FALSE), 1)</f>
        <v>0.2245857592998339</v>
      </c>
      <c r="O8" s="7">
        <f>$B8 * IFERROR(VLOOKUP("buildings|PM25|Asthma symptoms wheeze", US_national_yearly!$D:$AM, 23, FALSE) / VLOOKUP("buildings|PM25|Asthma symptoms wheeze", US_national_yearly!$D:$AM, 10, FALSE), 1)</f>
        <v>0.2245857592998339</v>
      </c>
      <c r="P8" s="7">
        <f>$B8 * IFERROR(VLOOKUP("buildings|PM25|Asthma symptoms wheeze", US_national_yearly!$D:$AM, 24, FALSE) / VLOOKUP("buildings|PM25|Asthma symptoms wheeze", US_national_yearly!$D:$AM, 10, FALSE), 1)</f>
        <v>0.2245857592998339</v>
      </c>
      <c r="Q8" s="7">
        <f>$B8 * IFERROR(VLOOKUP("buildings|PM25|Asthma symptoms wheeze", US_national_yearly!$D:$AM, 25, FALSE) / VLOOKUP("buildings|PM25|Asthma symptoms wheeze", US_national_yearly!$D:$AM, 10, FALSE), 1)</f>
        <v>0.2245857592998339</v>
      </c>
      <c r="R8" s="7">
        <f>$B8 * IFERROR(VLOOKUP("buildings|PM25|Asthma symptoms wheeze", US_national_yearly!$D:$AM, 26, FALSE) / VLOOKUP("buildings|PM25|Asthma symptoms wheeze", US_national_yearly!$D:$AM, 10, FALSE), 1)</f>
        <v>0.2245857592998339</v>
      </c>
      <c r="S8" s="7">
        <f>$B8 * IFERROR(VLOOKUP("buildings|PM25|Asthma symptoms wheeze", US_national_yearly!$D:$AM, 27, FALSE) / VLOOKUP("buildings|PM25|Asthma symptoms wheeze", US_national_yearly!$D:$AM, 10, FALSE), 1)</f>
        <v>0.2245857592998339</v>
      </c>
      <c r="T8" s="7">
        <f>$B8 * IFERROR(VLOOKUP("buildings|PM25|Asthma symptoms wheeze", US_national_yearly!$D:$AM, 28, FALSE) / VLOOKUP("buildings|PM25|Asthma symptoms wheeze", US_national_yearly!$D:$AM, 10, FALSE), 1)</f>
        <v>0.2245857592998339</v>
      </c>
      <c r="U8" s="7">
        <f>$B8 * IFERROR(VLOOKUP("buildings|PM25|Asthma symptoms wheeze", US_national_yearly!$D:$AM, 29, FALSE) / VLOOKUP("buildings|PM25|Asthma symptoms wheeze", US_national_yearly!$D:$AM, 10, FALSE), 1)</f>
        <v>0.2245857592998339</v>
      </c>
      <c r="V8" s="7">
        <f>$B8 * IFERROR(VLOOKUP("buildings|PM25|Asthma symptoms wheeze", US_national_yearly!$D:$AM, 30, FALSE) / VLOOKUP("buildings|PM25|Asthma symptoms wheeze", US_national_yearly!$D:$AM, 10, FALSE), 1)</f>
        <v>0.2245857592998339</v>
      </c>
      <c r="W8" s="7">
        <f>$B8 * IFERROR(VLOOKUP("buildings|PM25|Asthma symptoms wheeze", US_national_yearly!$D:$AM, 31, FALSE) / VLOOKUP("buildings|PM25|Asthma symptoms wheeze", US_national_yearly!$D:$AM, 10, FALSE), 1)</f>
        <v>0.2245857592998339</v>
      </c>
      <c r="X8" s="7">
        <f>$B8 * IFERROR(VLOOKUP("buildings|PM25|Asthma symptoms wheeze", US_national_yearly!$D:$AM, 32, FALSE) / VLOOKUP("buildings|PM25|Asthma symptoms wheeze", US_national_yearly!$D:$AM, 10, FALSE), 1)</f>
        <v>0.2245857592998339</v>
      </c>
      <c r="Y8" s="7">
        <f>$B8 * IFERROR(VLOOKUP("buildings|PM25|Asthma symptoms wheeze", US_national_yearly!$D:$AM, 33, FALSE) / VLOOKUP("buildings|PM25|Asthma symptoms wheeze", US_national_yearly!$D:$AM, 10, FALSE), 1)</f>
        <v>0.2245857592998339</v>
      </c>
      <c r="Z8" s="7">
        <f>$B8 * IFERROR(VLOOKUP("buildings|PM25|Asthma symptoms wheeze", US_national_yearly!$D:$AM, 34, FALSE) / VLOOKUP("buildings|PM25|Asthma symptoms wheeze", US_national_yearly!$D:$AM, 10, FALSE), 1)</f>
        <v>0.2245857592998339</v>
      </c>
      <c r="AA8" s="7">
        <f>$B8 * IFERROR(VLOOKUP("buildings|PM25|Asthma symptoms wheeze", US_national_yearly!$D:$AM, 35, FALSE) / VLOOKUP("buildings|PM25|Asthma symptoms wheeze", US_national_yearly!$D:$AM, 10, FALSE), 1)</f>
        <v>0.2245857592998339</v>
      </c>
      <c r="AB8" s="7">
        <f>$B8 * IFERROR(VLOOKUP("buildings|PM25|Asthma symptoms wheeze", US_national_yearly!$D:$AM, 36, FALSE) / VLOOKUP("buildings|PM25|Asthma symptoms wheeze", US_national_yearly!$D:$AM, 10, FALSE), 1)</f>
        <v>0.2245857592998339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2.982964725001311E-3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3.0001590296457148E-3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3.017353334290119E-3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3.0345476389345236E-3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3.0517419435789278E-3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3.0702961913138625E-3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3.0888504390487971E-3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3.1064972064733811E-3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3.1241439738979647E-3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3.1417907413225483E-3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3.1594375087471323E-3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3.1770842761717159E-3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3.1897770823735819E-3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3.2024698885754484E-3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3.2151626947773148E-3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3.2278555009791804E-3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3.2405483071810464E-3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3.2526416690829324E-3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3.2647350309848197E-3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3.2768283928867057E-3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3.2889217547885916E-3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3.3010151166904789E-3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3.3126953872726229E-3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3.3243756578547681E-3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3.3360559284369125E-3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3.3477361990190573E-3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3.3594164696012017E-3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1.8509286753990634E-2</v>
      </c>
      <c r="C13" s="7">
        <f>$B13 * IFERROR(VLOOKUP("buildings|PM25|Non-fatal heart attacks", US_national_yearly!$D:$AM, 11, FALSE) / VLOOKUP("buildings|PM25|Non-fatal heart attacks", US_national_yearly!$D:$AM, 10, FALSE), 1)</f>
        <v>1.9047655550390164E-2</v>
      </c>
      <c r="D13" s="7">
        <f>$B13 * IFERROR(VLOOKUP("buildings|PM25|Non-fatal heart attacks", US_national_yearly!$D:$AM, 12, FALSE) / VLOOKUP("buildings|PM25|Non-fatal heart attacks", US_national_yearly!$D:$AM, 10, FALSE), 1)</f>
        <v>1.9586024346789691E-2</v>
      </c>
      <c r="E13" s="7">
        <f>$B13 * IFERROR(VLOOKUP("buildings|PM25|Non-fatal heart attacks", US_national_yearly!$D:$AM, 13, FALSE) / VLOOKUP("buildings|PM25|Non-fatal heart attacks", US_national_yearly!$D:$AM, 10, FALSE), 1)</f>
        <v>2.0124393143189222E-2</v>
      </c>
      <c r="F13" s="7">
        <f>$B13 * IFERROR(VLOOKUP("buildings|PM25|Non-fatal heart attacks", US_national_yearly!$D:$AM, 14, FALSE) / VLOOKUP("buildings|PM25|Non-fatal heart attacks", US_national_yearly!$D:$AM, 10, FALSE), 1)</f>
        <v>2.0662761939588752E-2</v>
      </c>
      <c r="G13" s="7">
        <f>$B13 * IFERROR(VLOOKUP("buildings|PM25|Non-fatal heart attacks", US_national_yearly!$D:$AM, 15, FALSE) / VLOOKUP("buildings|PM25|Non-fatal heart attacks", US_national_yearly!$D:$AM, 10, FALSE), 1)</f>
        <v>2.117074364801597E-2</v>
      </c>
      <c r="H13" s="7">
        <f>$B13 * IFERROR(VLOOKUP("buildings|PM25|Non-fatal heart attacks", US_national_yearly!$D:$AM, 16, FALSE) / VLOOKUP("buildings|PM25|Non-fatal heart attacks", US_national_yearly!$D:$AM, 10, FALSE), 1)</f>
        <v>2.167872535644318E-2</v>
      </c>
      <c r="I13" s="7">
        <f>$B13 * IFERROR(VLOOKUP("buildings|PM25|Non-fatal heart attacks", US_national_yearly!$D:$AM, 17, FALSE) / VLOOKUP("buildings|PM25|Non-fatal heart attacks", US_national_yearly!$D:$AM, 10, FALSE), 1)</f>
        <v>2.2087436095223713E-2</v>
      </c>
      <c r="J13" s="7">
        <f>$B13 * IFERROR(VLOOKUP("buildings|PM25|Non-fatal heart attacks", US_national_yearly!$D:$AM, 18, FALSE) / VLOOKUP("buildings|PM25|Non-fatal heart attacks", US_national_yearly!$D:$AM, 10, FALSE), 1)</f>
        <v>2.2496146834004242E-2</v>
      </c>
      <c r="K13" s="7">
        <f>$B13 * IFERROR(VLOOKUP("buildings|PM25|Non-fatal heart attacks", US_national_yearly!$D:$AM, 19, FALSE) / VLOOKUP("buildings|PM25|Non-fatal heart attacks", US_national_yearly!$D:$AM, 10, FALSE), 1)</f>
        <v>2.2904857572784768E-2</v>
      </c>
      <c r="L13" s="7">
        <f>$B13 * IFERROR(VLOOKUP("buildings|PM25|Non-fatal heart attacks", US_national_yearly!$D:$AM, 20, FALSE) / VLOOKUP("buildings|PM25|Non-fatal heart attacks", US_national_yearly!$D:$AM, 10, FALSE), 1)</f>
        <v>2.3313568311565294E-2</v>
      </c>
      <c r="M13" s="7">
        <f>$B13 * IFERROR(VLOOKUP("buildings|PM25|Non-fatal heart attacks", US_national_yearly!$D:$AM, 21, FALSE) / VLOOKUP("buildings|PM25|Non-fatal heart attacks", US_national_yearly!$D:$AM, 10, FALSE), 1)</f>
        <v>2.3722279050345824E-2</v>
      </c>
      <c r="N13" s="7">
        <f>$B13 * IFERROR(VLOOKUP("buildings|PM25|Non-fatal heart attacks", US_national_yearly!$D:$AM, 22, FALSE) / VLOOKUP("buildings|PM25|Non-fatal heart attacks", US_national_yearly!$D:$AM, 10, FALSE), 1)</f>
        <v>2.3986312572999907E-2</v>
      </c>
      <c r="O13" s="7">
        <f>$B13 * IFERROR(VLOOKUP("buildings|PM25|Non-fatal heart attacks", US_national_yearly!$D:$AM, 23, FALSE) / VLOOKUP("buildings|PM25|Non-fatal heart attacks", US_national_yearly!$D:$AM, 10, FALSE), 1)</f>
        <v>2.4250346095653991E-2</v>
      </c>
      <c r="P13" s="7">
        <f>$B13 * IFERROR(VLOOKUP("buildings|PM25|Non-fatal heart attacks", US_national_yearly!$D:$AM, 24, FALSE) / VLOOKUP("buildings|PM25|Non-fatal heart attacks", US_national_yearly!$D:$AM, 10, FALSE), 1)</f>
        <v>2.4514379618308074E-2</v>
      </c>
      <c r="Q13" s="7">
        <f>$B13 * IFERROR(VLOOKUP("buildings|PM25|Non-fatal heart attacks", US_national_yearly!$D:$AM, 25, FALSE) / VLOOKUP("buildings|PM25|Non-fatal heart attacks", US_national_yearly!$D:$AM, 10, FALSE), 1)</f>
        <v>2.4778413140962158E-2</v>
      </c>
      <c r="R13" s="7">
        <f>$B13 * IFERROR(VLOOKUP("buildings|PM25|Non-fatal heart attacks", US_national_yearly!$D:$AM, 26, FALSE) / VLOOKUP("buildings|PM25|Non-fatal heart attacks", US_national_yearly!$D:$AM, 10, FALSE), 1)</f>
        <v>2.5042446663616241E-2</v>
      </c>
      <c r="S13" s="7">
        <f>$B13 * IFERROR(VLOOKUP("buildings|PM25|Non-fatal heart attacks", US_national_yearly!$D:$AM, 27, FALSE) / VLOOKUP("buildings|PM25|Non-fatal heart attacks", US_national_yearly!$D:$AM, 10, FALSE), 1)</f>
        <v>2.5182096513126549E-2</v>
      </c>
      <c r="T13" s="7">
        <f>$B13 * IFERROR(VLOOKUP("buildings|PM25|Non-fatal heart attacks", US_national_yearly!$D:$AM, 28, FALSE) / VLOOKUP("buildings|PM25|Non-fatal heart attacks", US_national_yearly!$D:$AM, 10, FALSE), 1)</f>
        <v>2.5321746362636861E-2</v>
      </c>
      <c r="U13" s="7">
        <f>$B13 * IFERROR(VLOOKUP("buildings|PM25|Non-fatal heart attacks", US_national_yearly!$D:$AM, 29, FALSE) / VLOOKUP("buildings|PM25|Non-fatal heart attacks", US_national_yearly!$D:$AM, 10, FALSE), 1)</f>
        <v>2.5461396212147176E-2</v>
      </c>
      <c r="V13" s="7">
        <f>$B13 * IFERROR(VLOOKUP("buildings|PM25|Non-fatal heart attacks", US_national_yearly!$D:$AM, 30, FALSE) / VLOOKUP("buildings|PM25|Non-fatal heart attacks", US_national_yearly!$D:$AM, 10, FALSE), 1)</f>
        <v>2.5601046061657484E-2</v>
      </c>
      <c r="W13" s="7">
        <f>$B13 * IFERROR(VLOOKUP("buildings|PM25|Non-fatal heart attacks", US_national_yearly!$D:$AM, 31, FALSE) / VLOOKUP("buildings|PM25|Non-fatal heart attacks", US_national_yearly!$D:$AM, 10, FALSE), 1)</f>
        <v>2.5740695911167798E-2</v>
      </c>
      <c r="X13" s="7">
        <f>$B13 * IFERROR(VLOOKUP("buildings|PM25|Non-fatal heart attacks", US_national_yearly!$D:$AM, 32, FALSE) / VLOOKUP("buildings|PM25|Non-fatal heart attacks", US_national_yearly!$D:$AM, 10, FALSE), 1)</f>
        <v>2.5846979646435925E-2</v>
      </c>
      <c r="Y13" s="7">
        <f>$B13 * IFERROR(VLOOKUP("buildings|PM25|Non-fatal heart attacks", US_national_yearly!$D:$AM, 33, FALSE) / VLOOKUP("buildings|PM25|Non-fatal heart attacks", US_national_yearly!$D:$AM, 10, FALSE), 1)</f>
        <v>2.5953263381704055E-2</v>
      </c>
      <c r="Z13" s="7">
        <f>$B13 * IFERROR(VLOOKUP("buildings|PM25|Non-fatal heart attacks", US_national_yearly!$D:$AM, 34, FALSE) / VLOOKUP("buildings|PM25|Non-fatal heart attacks", US_national_yearly!$D:$AM, 10, FALSE), 1)</f>
        <v>2.6059547116972177E-2</v>
      </c>
      <c r="AA13" s="7">
        <f>$B13 * IFERROR(VLOOKUP("buildings|PM25|Non-fatal heart attacks", US_national_yearly!$D:$AM, 35, FALSE) / VLOOKUP("buildings|PM25|Non-fatal heart attacks", US_national_yearly!$D:$AM, 10, FALSE), 1)</f>
        <v>2.6165830852240304E-2</v>
      </c>
      <c r="AB13" s="7">
        <f>$B13 * IFERROR(VLOOKUP("buildings|PM25|Non-fatal heart attacks", US_national_yearly!$D:$AM, 36, FALSE) / VLOOKUP("buildings|PM25|Non-fatal heart attacks", US_national_yearly!$D:$AM, 10, FALSE), 1)</f>
        <v>2.6272114587508437E-2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13.688676564203401</v>
      </c>
      <c r="C14" s="7">
        <f>$B14 * IFERROR(VLOOKUP("buildings|PM25|Minor restricted activity days", US_national_yearly!$D:$AM, 11, FALSE) / VLOOKUP("buildings|PM25|Minor restricted activity days", US_national_yearly!$D:$AM, 10, FALSE), 1)</f>
        <v>13.722721070239407</v>
      </c>
      <c r="D14" s="7">
        <f>$B14 * IFERROR(VLOOKUP("buildings|PM25|Minor restricted activity days", US_national_yearly!$D:$AM, 12, FALSE) / VLOOKUP("buildings|PM25|Minor restricted activity days", US_national_yearly!$D:$AM, 10, FALSE), 1)</f>
        <v>13.756765576275415</v>
      </c>
      <c r="E14" s="7">
        <f>$B14 * IFERROR(VLOOKUP("buildings|PM25|Minor restricted activity days", US_national_yearly!$D:$AM, 13, FALSE) / VLOOKUP("buildings|PM25|Minor restricted activity days", US_national_yearly!$D:$AM, 10, FALSE), 1)</f>
        <v>13.79081008231142</v>
      </c>
      <c r="F14" s="7">
        <f>$B14 * IFERROR(VLOOKUP("buildings|PM25|Minor restricted activity days", US_national_yearly!$D:$AM, 14, FALSE) / VLOOKUP("buildings|PM25|Minor restricted activity days", US_national_yearly!$D:$AM, 10, FALSE), 1)</f>
        <v>13.824854588347424</v>
      </c>
      <c r="G14" s="7">
        <f>$B14 * IFERROR(VLOOKUP("buildings|PM25|Minor restricted activity days", US_national_yearly!$D:$AM, 15, FALSE) / VLOOKUP("buildings|PM25|Minor restricted activity days", US_national_yearly!$D:$AM, 10, FALSE), 1)</f>
        <v>13.874787542051072</v>
      </c>
      <c r="H14" s="7">
        <f>$B14 * IFERROR(VLOOKUP("buildings|PM25|Minor restricted activity days", US_national_yearly!$D:$AM, 16, FALSE) / VLOOKUP("buildings|PM25|Minor restricted activity days", US_national_yearly!$D:$AM, 10, FALSE), 1)</f>
        <v>13.924720495754713</v>
      </c>
      <c r="I14" s="7">
        <f>$B14 * IFERROR(VLOOKUP("buildings|PM25|Minor restricted activity days", US_national_yearly!$D:$AM, 17, FALSE) / VLOOKUP("buildings|PM25|Minor restricted activity days", US_national_yearly!$D:$AM, 10, FALSE), 1)</f>
        <v>14.009628932012124</v>
      </c>
      <c r="J14" s="7">
        <f>$B14 * IFERROR(VLOOKUP("buildings|PM25|Minor restricted activity days", US_national_yearly!$D:$AM, 18, FALSE) / VLOOKUP("buildings|PM25|Minor restricted activity days", US_national_yearly!$D:$AM, 10, FALSE), 1)</f>
        <v>14.094537368269542</v>
      </c>
      <c r="K14" s="7">
        <f>$B14 * IFERROR(VLOOKUP("buildings|PM25|Minor restricted activity days", US_national_yearly!$D:$AM, 19, FALSE) / VLOOKUP("buildings|PM25|Minor restricted activity days", US_national_yearly!$D:$AM, 10, FALSE), 1)</f>
        <v>14.179445804526948</v>
      </c>
      <c r="L14" s="7">
        <f>$B14 * IFERROR(VLOOKUP("buildings|PM25|Minor restricted activity days", US_national_yearly!$D:$AM, 20, FALSE) / VLOOKUP("buildings|PM25|Minor restricted activity days", US_national_yearly!$D:$AM, 10, FALSE), 1)</f>
        <v>14.264354240784355</v>
      </c>
      <c r="M14" s="7">
        <f>$B14 * IFERROR(VLOOKUP("buildings|PM25|Minor restricted activity days", US_national_yearly!$D:$AM, 21, FALSE) / VLOOKUP("buildings|PM25|Minor restricted activity days", US_national_yearly!$D:$AM, 10, FALSE), 1)</f>
        <v>14.349262677041764</v>
      </c>
      <c r="N14" s="7">
        <f>$B14 * IFERROR(VLOOKUP("buildings|PM25|Minor restricted activity days", US_national_yearly!$D:$AM, 22, FALSE) / VLOOKUP("buildings|PM25|Minor restricted activity days", US_national_yearly!$D:$AM, 10, FALSE), 1)</f>
        <v>14.464632756592509</v>
      </c>
      <c r="O14" s="7">
        <f>$B14 * IFERROR(VLOOKUP("buildings|PM25|Minor restricted activity days", US_national_yearly!$D:$AM, 23, FALSE) / VLOOKUP("buildings|PM25|Minor restricted activity days", US_national_yearly!$D:$AM, 10, FALSE), 1)</f>
        <v>14.580002836143253</v>
      </c>
      <c r="P14" s="7">
        <f>$B14 * IFERROR(VLOOKUP("buildings|PM25|Minor restricted activity days", US_national_yearly!$D:$AM, 24, FALSE) / VLOOKUP("buildings|PM25|Minor restricted activity days", US_national_yearly!$D:$AM, 10, FALSE), 1)</f>
        <v>14.695372915693996</v>
      </c>
      <c r="Q14" s="7">
        <f>$B14 * IFERROR(VLOOKUP("buildings|PM25|Minor restricted activity days", US_national_yearly!$D:$AM, 25, FALSE) / VLOOKUP("buildings|PM25|Minor restricted activity days", US_national_yearly!$D:$AM, 10, FALSE), 1)</f>
        <v>14.810742995244739</v>
      </c>
      <c r="R14" s="7">
        <f>$B14 * IFERROR(VLOOKUP("buildings|PM25|Minor restricted activity days", US_national_yearly!$D:$AM, 26, FALSE) / VLOOKUP("buildings|PM25|Minor restricted activity days", US_national_yearly!$D:$AM, 10, FALSE), 1)</f>
        <v>14.926113074795483</v>
      </c>
      <c r="S14" s="7">
        <f>$B14 * IFERROR(VLOOKUP("buildings|PM25|Minor restricted activity days", US_national_yearly!$D:$AM, 27, FALSE) / VLOOKUP("buildings|PM25|Minor restricted activity days", US_national_yearly!$D:$AM, 10, FALSE), 1)</f>
        <v>15.042198108970171</v>
      </c>
      <c r="T14" s="7">
        <f>$B14 * IFERROR(VLOOKUP("buildings|PM25|Minor restricted activity days", US_national_yearly!$D:$AM, 28, FALSE) / VLOOKUP("buildings|PM25|Minor restricted activity days", US_national_yearly!$D:$AM, 10, FALSE), 1)</f>
        <v>15.158283143144853</v>
      </c>
      <c r="U14" s="7">
        <f>$B14 * IFERROR(VLOOKUP("buildings|PM25|Minor restricted activity days", US_national_yearly!$D:$AM, 29, FALSE) / VLOOKUP("buildings|PM25|Minor restricted activity days", US_national_yearly!$D:$AM, 10, FALSE), 1)</f>
        <v>15.274368177319541</v>
      </c>
      <c r="V14" s="7">
        <f>$B14 * IFERROR(VLOOKUP("buildings|PM25|Minor restricted activity days", US_national_yearly!$D:$AM, 30, FALSE) / VLOOKUP("buildings|PM25|Minor restricted activity days", US_national_yearly!$D:$AM, 10, FALSE), 1)</f>
        <v>15.390453211494226</v>
      </c>
      <c r="W14" s="7">
        <f>$B14 * IFERROR(VLOOKUP("buildings|PM25|Minor restricted activity days", US_national_yearly!$D:$AM, 31, FALSE) / VLOOKUP("buildings|PM25|Minor restricted activity days", US_national_yearly!$D:$AM, 10, FALSE), 1)</f>
        <v>15.506538245668912</v>
      </c>
      <c r="X14" s="7">
        <f>$B14 * IFERROR(VLOOKUP("buildings|PM25|Minor restricted activity days", US_national_yearly!$D:$AM, 32, FALSE) / VLOOKUP("buildings|PM25|Minor restricted activity days", US_national_yearly!$D:$AM, 10, FALSE), 1)</f>
        <v>15.607335529799833</v>
      </c>
      <c r="Y14" s="7">
        <f>$B14 * IFERROR(VLOOKUP("buildings|PM25|Minor restricted activity days", US_national_yearly!$D:$AM, 33, FALSE) / VLOOKUP("buildings|PM25|Minor restricted activity days", US_national_yearly!$D:$AM, 10, FALSE), 1)</f>
        <v>15.708132813930753</v>
      </c>
      <c r="Z14" s="7">
        <f>$B14 * IFERROR(VLOOKUP("buildings|PM25|Minor restricted activity days", US_national_yearly!$D:$AM, 34, FALSE) / VLOOKUP("buildings|PM25|Minor restricted activity days", US_national_yearly!$D:$AM, 10, FALSE), 1)</f>
        <v>15.808930098061669</v>
      </c>
      <c r="AA14" s="7">
        <f>$B14 * IFERROR(VLOOKUP("buildings|PM25|Minor restricted activity days", US_national_yearly!$D:$AM, 35, FALSE) / VLOOKUP("buildings|PM25|Minor restricted activity days", US_national_yearly!$D:$AM, 10, FALSE), 1)</f>
        <v>15.909727382192587</v>
      </c>
      <c r="AB14" s="7">
        <f>$B14 * IFERROR(VLOOKUP("buildings|PM25|Minor restricted activity days", US_national_yearly!$D:$AM, 36, FALSE) / VLOOKUP("buildings|PM25|Minor restricted activity days", US_national_yearly!$D:$AM, 10, FALSE), 1)</f>
        <v>16.010524666323505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2.3093395311487019</v>
      </c>
      <c r="C15" s="7">
        <f>$B15 * IFERROR(VLOOKUP("buildings|PM25|Work loss days", US_national_yearly!$D:$AM, 11, FALSE) / VLOOKUP("buildings|PM25|Work loss days", US_national_yearly!$D:$AM, 10, FALSE), 1)</f>
        <v>2.3165867366298842</v>
      </c>
      <c r="D15" s="7">
        <f>$B15 * IFERROR(VLOOKUP("buildings|PM25|Work loss days", US_national_yearly!$D:$AM, 12, FALSE) / VLOOKUP("buildings|PM25|Work loss days", US_national_yearly!$D:$AM, 10, FALSE), 1)</f>
        <v>2.3238339421110656</v>
      </c>
      <c r="E15" s="7">
        <f>$B15 * IFERROR(VLOOKUP("buildings|PM25|Work loss days", US_national_yearly!$D:$AM, 13, FALSE) / VLOOKUP("buildings|PM25|Work loss days", US_national_yearly!$D:$AM, 10, FALSE), 1)</f>
        <v>2.331081147592247</v>
      </c>
      <c r="F15" s="7">
        <f>$B15 * IFERROR(VLOOKUP("buildings|PM25|Work loss days", US_national_yearly!$D:$AM, 14, FALSE) / VLOOKUP("buildings|PM25|Work loss days", US_national_yearly!$D:$AM, 10, FALSE), 1)</f>
        <v>2.3383283530734289</v>
      </c>
      <c r="G15" s="7">
        <f>$B15 * IFERROR(VLOOKUP("buildings|PM25|Work loss days", US_national_yearly!$D:$AM, 15, FALSE) / VLOOKUP("buildings|PM25|Work loss days", US_national_yearly!$D:$AM, 10, FALSE), 1)</f>
        <v>2.3478011000894026</v>
      </c>
      <c r="H15" s="7">
        <f>$B15 * IFERROR(VLOOKUP("buildings|PM25|Work loss days", US_national_yearly!$D:$AM, 16, FALSE) / VLOOKUP("buildings|PM25|Work loss days", US_national_yearly!$D:$AM, 10, FALSE), 1)</f>
        <v>2.3572738471053762</v>
      </c>
      <c r="I15" s="7">
        <f>$B15 * IFERROR(VLOOKUP("buildings|PM25|Work loss days", US_national_yearly!$D:$AM, 17, FALSE) / VLOOKUP("buildings|PM25|Work loss days", US_national_yearly!$D:$AM, 10, FALSE), 1)</f>
        <v>2.3711861514657646</v>
      </c>
      <c r="J15" s="7">
        <f>$B15 * IFERROR(VLOOKUP("buildings|PM25|Work loss days", US_national_yearly!$D:$AM, 18, FALSE) / VLOOKUP("buildings|PM25|Work loss days", US_national_yearly!$D:$AM, 10, FALSE), 1)</f>
        <v>2.3850984558261534</v>
      </c>
      <c r="K15" s="7">
        <f>$B15 * IFERROR(VLOOKUP("buildings|PM25|Work loss days", US_national_yearly!$D:$AM, 19, FALSE) / VLOOKUP("buildings|PM25|Work loss days", US_national_yearly!$D:$AM, 10, FALSE), 1)</f>
        <v>2.3990107601865418</v>
      </c>
      <c r="L15" s="7">
        <f>$B15 * IFERROR(VLOOKUP("buildings|PM25|Work loss days", US_national_yearly!$D:$AM, 20, FALSE) / VLOOKUP("buildings|PM25|Work loss days", US_national_yearly!$D:$AM, 10, FALSE), 1)</f>
        <v>2.4129230645469302</v>
      </c>
      <c r="M15" s="7">
        <f>$B15 * IFERROR(VLOOKUP("buildings|PM25|Work loss days", US_national_yearly!$D:$AM, 21, FALSE) / VLOOKUP("buildings|PM25|Work loss days", US_national_yearly!$D:$AM, 10, FALSE), 1)</f>
        <v>2.4268353689073194</v>
      </c>
      <c r="N15" s="7">
        <f>$B15 * IFERROR(VLOOKUP("buildings|PM25|Work loss days", US_national_yearly!$D:$AM, 22, FALSE) / VLOOKUP("buildings|PM25|Work loss days", US_national_yearly!$D:$AM, 10, FALSE), 1)</f>
        <v>2.4443268282095141</v>
      </c>
      <c r="O15" s="7">
        <f>$B15 * IFERROR(VLOOKUP("buildings|PM25|Work loss days", US_national_yearly!$D:$AM, 23, FALSE) / VLOOKUP("buildings|PM25|Work loss days", US_national_yearly!$D:$AM, 10, FALSE), 1)</f>
        <v>2.4618182875117092</v>
      </c>
      <c r="P15" s="7">
        <f>$B15 * IFERROR(VLOOKUP("buildings|PM25|Work loss days", US_national_yearly!$D:$AM, 24, FALSE) / VLOOKUP("buildings|PM25|Work loss days", US_national_yearly!$D:$AM, 10, FALSE), 1)</f>
        <v>2.4793097468139038</v>
      </c>
      <c r="Q15" s="7">
        <f>$B15 * IFERROR(VLOOKUP("buildings|PM25|Work loss days", US_national_yearly!$D:$AM, 25, FALSE) / VLOOKUP("buildings|PM25|Work loss days", US_national_yearly!$D:$AM, 10, FALSE), 1)</f>
        <v>2.496801206116098</v>
      </c>
      <c r="R15" s="7">
        <f>$B15 * IFERROR(VLOOKUP("buildings|PM25|Work loss days", US_national_yearly!$D:$AM, 26, FALSE) / VLOOKUP("buildings|PM25|Work loss days", US_national_yearly!$D:$AM, 10, FALSE), 1)</f>
        <v>2.5142926654182931</v>
      </c>
      <c r="S15" s="7">
        <f>$B15 * IFERROR(VLOOKUP("buildings|PM25|Work loss days", US_national_yearly!$D:$AM, 27, FALSE) / VLOOKUP("buildings|PM25|Work loss days", US_national_yearly!$D:$AM, 10, FALSE), 1)</f>
        <v>2.533614156115779</v>
      </c>
      <c r="T15" s="7">
        <f>$B15 * IFERROR(VLOOKUP("buildings|PM25|Work loss days", US_national_yearly!$D:$AM, 28, FALSE) / VLOOKUP("buildings|PM25|Work loss days", US_national_yearly!$D:$AM, 10, FALSE), 1)</f>
        <v>2.5529356468132649</v>
      </c>
      <c r="U15" s="7">
        <f>$B15 * IFERROR(VLOOKUP("buildings|PM25|Work loss days", US_national_yearly!$D:$AM, 29, FALSE) / VLOOKUP("buildings|PM25|Work loss days", US_national_yearly!$D:$AM, 10, FALSE), 1)</f>
        <v>2.5722571375107508</v>
      </c>
      <c r="V15" s="7">
        <f>$B15 * IFERROR(VLOOKUP("buildings|PM25|Work loss days", US_national_yearly!$D:$AM, 30, FALSE) / VLOOKUP("buildings|PM25|Work loss days", US_national_yearly!$D:$AM, 10, FALSE), 1)</f>
        <v>2.5915786282082367</v>
      </c>
      <c r="W15" s="7">
        <f>$B15 * IFERROR(VLOOKUP("buildings|PM25|Work loss days", US_national_yearly!$D:$AM, 31, FALSE) / VLOOKUP("buildings|PM25|Work loss days", US_national_yearly!$D:$AM, 10, FALSE), 1)</f>
        <v>2.6109001189057226</v>
      </c>
      <c r="X15" s="7">
        <f>$B15 * IFERROR(VLOOKUP("buildings|PM25|Work loss days", US_national_yearly!$D:$AM, 32, FALSE) / VLOOKUP("buildings|PM25|Work loss days", US_national_yearly!$D:$AM, 10, FALSE), 1)</f>
        <v>2.6280461003798523</v>
      </c>
      <c r="Y15" s="7">
        <f>$B15 * IFERROR(VLOOKUP("buildings|PM25|Work loss days", US_national_yearly!$D:$AM, 33, FALSE) / VLOOKUP("buildings|PM25|Work loss days", US_national_yearly!$D:$AM, 10, FALSE), 1)</f>
        <v>2.6451920818539825</v>
      </c>
      <c r="Z15" s="7">
        <f>$B15 * IFERROR(VLOOKUP("buildings|PM25|Work loss days", US_national_yearly!$D:$AM, 34, FALSE) / VLOOKUP("buildings|PM25|Work loss days", US_national_yearly!$D:$AM, 10, FALSE), 1)</f>
        <v>2.6623380633281122</v>
      </c>
      <c r="AA15" s="7">
        <f>$B15 * IFERROR(VLOOKUP("buildings|PM25|Work loss days", US_national_yearly!$D:$AM, 35, FALSE) / VLOOKUP("buildings|PM25|Work loss days", US_national_yearly!$D:$AM, 10, FALSE), 1)</f>
        <v>2.6794840448022423</v>
      </c>
      <c r="AB15" s="7">
        <f>$B15 * IFERROR(VLOOKUP("buildings|PM25|Work loss days", US_national_yearly!$D:$AM, 36, FALSE) / VLOOKUP("buildings|PM25|Work loss days", US_national_yearly!$D:$AM, 10, FALSE), 1)</f>
        <v>2.696630026276372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4.2756543243873861E-3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4.403438011914354E-3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4.5312216994413219E-3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4.6590053869682889E-3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4.7867890744952559E-3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4.9092251899242626E-3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5.0316613053532685E-3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5.1364778852758903E-3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5.241294465198513E-3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5.3461110451211366E-3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5.4509276250437593E-3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5.5557442049663829E-3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5.6257355600116063E-3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5.6957269150568314E-3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5.7657182701020557E-3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5.83570962514728E-3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5.9057009801925043E-3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5.9428920373622469E-3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5.9800830945319888E-3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6.0172741517017314E-3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6.0544652088714733E-3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6.0916562660412168E-3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6.1168032409185304E-3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6.1419502157958441E-3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6.1670971906731585E-3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6.1922441655504713E-3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6.2173911404277858E-3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2.1371928380545138E-3</v>
      </c>
      <c r="C2" s="7">
        <f>$B2 * IFERROR(VLOOKUP("buildings|NOx|Premature mortality", US_national_yearly!$D:$AM, 11, FALSE) / VLOOKUP("buildings|NOx|Premature mortality", US_national_yearly!$D:$AM, 10, FALSE), 1)</f>
        <v>2.1686281320234318E-3</v>
      </c>
      <c r="D2" s="7">
        <f>$B2 * IFERROR(VLOOKUP("buildings|NOx|Premature mortality", US_national_yearly!$D:$AM, 12, FALSE) / VLOOKUP("buildings|NOx|Premature mortality", US_national_yearly!$D:$AM, 10, FALSE), 1)</f>
        <v>2.2000634259923498E-3</v>
      </c>
      <c r="E2" s="7">
        <f>$B2 * IFERROR(VLOOKUP("buildings|NOx|Premature mortality", US_national_yearly!$D:$AM, 13, FALSE) / VLOOKUP("buildings|NOx|Premature mortality", US_national_yearly!$D:$AM, 10, FALSE), 1)</f>
        <v>2.2314987199612678E-3</v>
      </c>
      <c r="F2" s="7">
        <f>$B2 * IFERROR(VLOOKUP("buildings|NOx|Premature mortality", US_national_yearly!$D:$AM, 14, FALSE) / VLOOKUP("buildings|NOx|Premature mortality", US_national_yearly!$D:$AM, 10, FALSE), 1)</f>
        <v>2.2629340139301859E-3</v>
      </c>
      <c r="G2" s="7">
        <f>$B2 * IFERROR(VLOOKUP("buildings|NOx|Premature mortality", US_national_yearly!$D:$AM, 15, FALSE) / VLOOKUP("buildings|NOx|Premature mortality", US_national_yearly!$D:$AM, 10, FALSE), 1)</f>
        <v>2.3193717578217942E-3</v>
      </c>
      <c r="H2" s="7">
        <f>$B2 * IFERROR(VLOOKUP("buildings|NOx|Premature mortality", US_national_yearly!$D:$AM, 16, FALSE) / VLOOKUP("buildings|NOx|Premature mortality", US_national_yearly!$D:$AM, 10, FALSE), 1)</f>
        <v>2.375809501713403E-3</v>
      </c>
      <c r="I2" s="7">
        <f>$B2 * IFERROR(VLOOKUP("buildings|NOx|Premature mortality", US_national_yearly!$D:$AM, 17, FALSE) / VLOOKUP("buildings|NOx|Premature mortality", US_national_yearly!$D:$AM, 10, FALSE), 1)</f>
        <v>2.4122826119967024E-3</v>
      </c>
      <c r="J2" s="7">
        <f>$B2 * IFERROR(VLOOKUP("buildings|NOx|Premature mortality", US_national_yearly!$D:$AM, 18, FALSE) / VLOOKUP("buildings|NOx|Premature mortality", US_national_yearly!$D:$AM, 10, FALSE), 1)</f>
        <v>2.4487557222800009E-3</v>
      </c>
      <c r="K2" s="7">
        <f>$B2 * IFERROR(VLOOKUP("buildings|NOx|Premature mortality", US_national_yearly!$D:$AM, 19, FALSE) / VLOOKUP("buildings|NOx|Premature mortality", US_national_yearly!$D:$AM, 10, FALSE), 1)</f>
        <v>2.4852288325632999E-3</v>
      </c>
      <c r="L2" s="7">
        <f>$B2 * IFERROR(VLOOKUP("buildings|NOx|Premature mortality", US_national_yearly!$D:$AM, 20, FALSE) / VLOOKUP("buildings|NOx|Premature mortality", US_national_yearly!$D:$AM, 10, FALSE), 1)</f>
        <v>2.5217019428465989E-3</v>
      </c>
      <c r="M2" s="7">
        <f>$B2 * IFERROR(VLOOKUP("buildings|NOx|Premature mortality", US_national_yearly!$D:$AM, 21, FALSE) / VLOOKUP("buildings|NOx|Premature mortality", US_national_yearly!$D:$AM, 10, FALSE), 1)</f>
        <v>2.5581750531298978E-3</v>
      </c>
      <c r="N2" s="7">
        <f>$B2 * IFERROR(VLOOKUP("buildings|NOx|Premature mortality", US_national_yearly!$D:$AM, 22, FALSE) / VLOOKUP("buildings|NOx|Premature mortality", US_national_yearly!$D:$AM, 10, FALSE), 1)</f>
        <v>2.5852002355584579E-3</v>
      </c>
      <c r="O2" s="7">
        <f>$B2 * IFERROR(VLOOKUP("buildings|NOx|Premature mortality", US_national_yearly!$D:$AM, 23, FALSE) / VLOOKUP("buildings|NOx|Premature mortality", US_national_yearly!$D:$AM, 10, FALSE), 1)</f>
        <v>2.6122254179870184E-3</v>
      </c>
      <c r="P2" s="7">
        <f>$B2 * IFERROR(VLOOKUP("buildings|NOx|Premature mortality", US_national_yearly!$D:$AM, 24, FALSE) / VLOOKUP("buildings|NOx|Premature mortality", US_national_yearly!$D:$AM, 10, FALSE), 1)</f>
        <v>2.6392506004155785E-3</v>
      </c>
      <c r="Q2" s="7">
        <f>$B2 * IFERROR(VLOOKUP("buildings|NOx|Premature mortality", US_national_yearly!$D:$AM, 25, FALSE) / VLOOKUP("buildings|NOx|Premature mortality", US_national_yearly!$D:$AM, 10, FALSE), 1)</f>
        <v>2.6662757828441385E-3</v>
      </c>
      <c r="R2" s="7">
        <f>$B2 * IFERROR(VLOOKUP("buildings|NOx|Premature mortality", US_national_yearly!$D:$AM, 26, FALSE) / VLOOKUP("buildings|NOx|Premature mortality", US_national_yearly!$D:$AM, 10, FALSE), 1)</f>
        <v>2.693300965272699E-3</v>
      </c>
      <c r="S2" s="7">
        <f>$B2 * IFERROR(VLOOKUP("buildings|NOx|Premature mortality", US_national_yearly!$D:$AM, 27, FALSE) / VLOOKUP("buildings|NOx|Premature mortality", US_national_yearly!$D:$AM, 10, FALSE), 1)</f>
        <v>2.7055876786910545E-3</v>
      </c>
      <c r="T2" s="7">
        <f>$B2 * IFERROR(VLOOKUP("buildings|NOx|Premature mortality", US_national_yearly!$D:$AM, 28, FALSE) / VLOOKUP("buildings|NOx|Premature mortality", US_national_yearly!$D:$AM, 10, FALSE), 1)</f>
        <v>2.7178743921094095E-3</v>
      </c>
      <c r="U2" s="7">
        <f>$B2 * IFERROR(VLOOKUP("buildings|NOx|Premature mortality", US_national_yearly!$D:$AM, 29, FALSE) / VLOOKUP("buildings|NOx|Premature mortality", US_national_yearly!$D:$AM, 10, FALSE), 1)</f>
        <v>2.730161105527765E-3</v>
      </c>
      <c r="V2" s="7">
        <f>$B2 * IFERROR(VLOOKUP("buildings|NOx|Premature mortality", US_national_yearly!$D:$AM, 30, FALSE) / VLOOKUP("buildings|NOx|Premature mortality", US_national_yearly!$D:$AM, 10, FALSE), 1)</f>
        <v>2.7424478189461208E-3</v>
      </c>
      <c r="W2" s="7">
        <f>$B2 * IFERROR(VLOOKUP("buildings|NOx|Premature mortality", US_national_yearly!$D:$AM, 31, FALSE) / VLOOKUP("buildings|NOx|Premature mortality", US_national_yearly!$D:$AM, 10, FALSE), 1)</f>
        <v>2.7547345323644759E-3</v>
      </c>
      <c r="X2" s="7">
        <f>$B2 * IFERROR(VLOOKUP("buildings|NOx|Premature mortality", US_national_yearly!$D:$AM, 32, FALSE) / VLOOKUP("buildings|NOx|Premature mortality", US_national_yearly!$D:$AM, 10, FALSE), 1)</f>
        <v>2.7551672603953275E-3</v>
      </c>
      <c r="Y2" s="7">
        <f>$B2 * IFERROR(VLOOKUP("buildings|NOx|Premature mortality", US_national_yearly!$D:$AM, 33, FALSE) / VLOOKUP("buildings|NOx|Premature mortality", US_national_yearly!$D:$AM, 10, FALSE), 1)</f>
        <v>2.7555999884261791E-3</v>
      </c>
      <c r="Z2" s="7">
        <f>$B2 * IFERROR(VLOOKUP("buildings|NOx|Premature mortality", US_national_yearly!$D:$AM, 34, FALSE) / VLOOKUP("buildings|NOx|Premature mortality", US_national_yearly!$D:$AM, 10, FALSE), 1)</f>
        <v>2.7560327164570307E-3</v>
      </c>
      <c r="AA2" s="7">
        <f>$B2 * IFERROR(VLOOKUP("buildings|NOx|Premature mortality", US_national_yearly!$D:$AM, 35, FALSE) / VLOOKUP("buildings|NOx|Premature mortality", US_national_yearly!$D:$AM, 10, FALSE), 1)</f>
        <v>2.7564654444878819E-3</v>
      </c>
      <c r="AB2" s="7">
        <f>$B2 * IFERROR(VLOOKUP("buildings|NOx|Premature mortality", US_national_yearly!$D:$AM, 36, FALSE) / VLOOKUP("buildings|NOx|Premature mortality", US_national_yearly!$D:$AM, 10, FALSE), 1)</f>
        <v>2.7568981725187339E-3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5.225099300029601E-6</v>
      </c>
      <c r="C3" s="7">
        <f>$B3 * IFERROR(VLOOKUP("buildings|NOx|Infant mortality", US_national_yearly!$D:$AM, 11, FALSE) / VLOOKUP("buildings|NOx|Infant mortality", US_national_yearly!$D:$AM, 10, FALSE), 1)</f>
        <v>5.1754669890469022E-6</v>
      </c>
      <c r="D3" s="7">
        <f>$B3 * IFERROR(VLOOKUP("buildings|NOx|Infant mortality", US_national_yearly!$D:$AM, 12, FALSE) / VLOOKUP("buildings|NOx|Infant mortality", US_national_yearly!$D:$AM, 10, FALSE), 1)</f>
        <v>5.1258346780642016E-6</v>
      </c>
      <c r="E3" s="7">
        <f>$B3 * IFERROR(VLOOKUP("buildings|NOx|Infant mortality", US_national_yearly!$D:$AM, 13, FALSE) / VLOOKUP("buildings|NOx|Infant mortality", US_national_yearly!$D:$AM, 10, FALSE), 1)</f>
        <v>5.0762023670815019E-6</v>
      </c>
      <c r="F3" s="7">
        <f>$B3 * IFERROR(VLOOKUP("buildings|NOx|Infant mortality", US_national_yearly!$D:$AM, 14, FALSE) / VLOOKUP("buildings|NOx|Infant mortality", US_national_yearly!$D:$AM, 10, FALSE), 1)</f>
        <v>5.0265700560988014E-6</v>
      </c>
      <c r="G3" s="7">
        <f>$B3 * IFERROR(VLOOKUP("buildings|NOx|Infant mortality", US_national_yearly!$D:$AM, 15, FALSE) / VLOOKUP("buildings|NOx|Infant mortality", US_national_yearly!$D:$AM, 10, FALSE), 1)</f>
        <v>3.3363227766494796E-6</v>
      </c>
      <c r="H3" s="7">
        <f>$B3 * IFERROR(VLOOKUP("buildings|NOx|Infant mortality", US_national_yearly!$D:$AM, 16, FALSE) / VLOOKUP("buildings|NOx|Infant mortality", US_national_yearly!$D:$AM, 10, FALSE), 1)</f>
        <v>1.6460754972001572E-6</v>
      </c>
      <c r="I3" s="7">
        <f>$B3 * IFERROR(VLOOKUP("buildings|NOx|Infant mortality", US_national_yearly!$D:$AM, 17, FALSE) / VLOOKUP("buildings|NOx|Infant mortality", US_national_yearly!$D:$AM, 10, FALSE), 1)</f>
        <v>1.6344467007580426E-6</v>
      </c>
      <c r="J3" s="7">
        <f>$B3 * IFERROR(VLOOKUP("buildings|NOx|Infant mortality", US_national_yearly!$D:$AM, 18, FALSE) / VLOOKUP("buildings|NOx|Infant mortality", US_national_yearly!$D:$AM, 10, FALSE), 1)</f>
        <v>1.6228179043159277E-6</v>
      </c>
      <c r="K3" s="7">
        <f>$B3 * IFERROR(VLOOKUP("buildings|NOx|Infant mortality", US_national_yearly!$D:$AM, 19, FALSE) / VLOOKUP("buildings|NOx|Infant mortality", US_national_yearly!$D:$AM, 10, FALSE), 1)</f>
        <v>1.6111891078738133E-6</v>
      </c>
      <c r="L3" s="7">
        <f>$B3 * IFERROR(VLOOKUP("buildings|NOx|Infant mortality", US_national_yearly!$D:$AM, 20, FALSE) / VLOOKUP("buildings|NOx|Infant mortality", US_national_yearly!$D:$AM, 10, FALSE), 1)</f>
        <v>1.5995603114316986E-6</v>
      </c>
      <c r="M3" s="7">
        <f>$B3 * IFERROR(VLOOKUP("buildings|NOx|Infant mortality", US_national_yearly!$D:$AM, 21, FALSE) / VLOOKUP("buildings|NOx|Infant mortality", US_national_yearly!$D:$AM, 10, FALSE), 1)</f>
        <v>1.5879315149895838E-6</v>
      </c>
      <c r="N3" s="7">
        <f>$B3 * IFERROR(VLOOKUP("buildings|NOx|Infant mortality", US_national_yearly!$D:$AM, 22, FALSE) / VLOOKUP("buildings|NOx|Infant mortality", US_national_yearly!$D:$AM, 10, FALSE), 1)</f>
        <v>1.5802257626828566E-6</v>
      </c>
      <c r="O3" s="7">
        <f>$B3 * IFERROR(VLOOKUP("buildings|NOx|Infant mortality", US_national_yearly!$D:$AM, 23, FALSE) / VLOOKUP("buildings|NOx|Infant mortality", US_national_yearly!$D:$AM, 10, FALSE), 1)</f>
        <v>1.5725200103761296E-6</v>
      </c>
      <c r="P3" s="7">
        <f>$B3 * IFERROR(VLOOKUP("buildings|NOx|Infant mortality", US_national_yearly!$D:$AM, 24, FALSE) / VLOOKUP("buildings|NOx|Infant mortality", US_national_yearly!$D:$AM, 10, FALSE), 1)</f>
        <v>1.5648142580694024E-6</v>
      </c>
      <c r="Q3" s="7">
        <f>$B3 * IFERROR(VLOOKUP("buildings|NOx|Infant mortality", US_national_yearly!$D:$AM, 25, FALSE) / VLOOKUP("buildings|NOx|Infant mortality", US_national_yearly!$D:$AM, 10, FALSE), 1)</f>
        <v>1.5571085057626756E-6</v>
      </c>
      <c r="R3" s="7">
        <f>$B3 * IFERROR(VLOOKUP("buildings|NOx|Infant mortality", US_national_yearly!$D:$AM, 26, FALSE) / VLOOKUP("buildings|NOx|Infant mortality", US_national_yearly!$D:$AM, 10, FALSE), 1)</f>
        <v>1.5494027534559484E-6</v>
      </c>
      <c r="S3" s="7">
        <f>$B3 * IFERROR(VLOOKUP("buildings|NOx|Infant mortality", US_national_yearly!$D:$AM, 27, FALSE) / VLOOKUP("buildings|NOx|Infant mortality", US_national_yearly!$D:$AM, 10, FALSE), 1)</f>
        <v>1.5401332255806288E-6</v>
      </c>
      <c r="T3" s="7">
        <f>$B3 * IFERROR(VLOOKUP("buildings|NOx|Infant mortality", US_national_yearly!$D:$AM, 28, FALSE) / VLOOKUP("buildings|NOx|Infant mortality", US_national_yearly!$D:$AM, 10, FALSE), 1)</f>
        <v>1.5308636977053097E-6</v>
      </c>
      <c r="U3" s="7">
        <f>$B3 * IFERROR(VLOOKUP("buildings|NOx|Infant mortality", US_national_yearly!$D:$AM, 29, FALSE) / VLOOKUP("buildings|NOx|Infant mortality", US_national_yearly!$D:$AM, 10, FALSE), 1)</f>
        <v>1.5215941698299901E-6</v>
      </c>
      <c r="V3" s="7">
        <f>$B3 * IFERROR(VLOOKUP("buildings|NOx|Infant mortality", US_national_yearly!$D:$AM, 30, FALSE) / VLOOKUP("buildings|NOx|Infant mortality", US_national_yearly!$D:$AM, 10, FALSE), 1)</f>
        <v>1.5123246419546705E-6</v>
      </c>
      <c r="W3" s="7">
        <f>$B3 * IFERROR(VLOOKUP("buildings|NOx|Infant mortality", US_national_yearly!$D:$AM, 31, FALSE) / VLOOKUP("buildings|NOx|Infant mortality", US_national_yearly!$D:$AM, 10, FALSE), 1)</f>
        <v>1.5030551140793514E-6</v>
      </c>
      <c r="X3" s="7">
        <f>$B3 * IFERROR(VLOOKUP("buildings|NOx|Infant mortality", US_national_yearly!$D:$AM, 32, FALSE) / VLOOKUP("buildings|NOx|Infant mortality", US_national_yearly!$D:$AM, 10, FALSE), 1)</f>
        <v>1.493247141167564E-6</v>
      </c>
      <c r="Y3" s="7">
        <f>$B3 * IFERROR(VLOOKUP("buildings|NOx|Infant mortality", US_national_yearly!$D:$AM, 33, FALSE) / VLOOKUP("buildings|NOx|Infant mortality", US_national_yearly!$D:$AM, 10, FALSE), 1)</f>
        <v>1.4834391682557769E-6</v>
      </c>
      <c r="Z3" s="7">
        <f>$B3 * IFERROR(VLOOKUP("buildings|NOx|Infant mortality", US_national_yearly!$D:$AM, 34, FALSE) / VLOOKUP("buildings|NOx|Infant mortality", US_national_yearly!$D:$AM, 10, FALSE), 1)</f>
        <v>1.4736311953439895E-6</v>
      </c>
      <c r="AA3" s="7">
        <f>$B3 * IFERROR(VLOOKUP("buildings|NOx|Infant mortality", US_national_yearly!$D:$AM, 35, FALSE) / VLOOKUP("buildings|NOx|Infant mortality", US_national_yearly!$D:$AM, 10, FALSE), 1)</f>
        <v>1.4638232224322022E-6</v>
      </c>
      <c r="AB3" s="7">
        <f>$B3 * IFERROR(VLOOKUP("buildings|NOx|Infant mortality", US_national_yearly!$D:$AM, 36, FALSE) / VLOOKUP("buildings|NOx|Infant mortality", US_national_yearly!$D:$AM, 10, FALSE), 1)</f>
        <v>1.4540152495204148E-6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4.6665958045839463E-3</v>
      </c>
      <c r="C6" s="7">
        <f>$B6 * IFERROR(VLOOKUP("buildings|NOx|Asthma symptoms cough", US_national_yearly!$D:$AM, 11, FALSE) / VLOOKUP("buildings|NOx|Asthma symptoms cough", US_national_yearly!$D:$AM, 10, FALSE), 1)</f>
        <v>4.7304594392640915E-3</v>
      </c>
      <c r="D6" s="7">
        <f>$B6 * IFERROR(VLOOKUP("buildings|NOx|Asthma symptoms cough", US_national_yearly!$D:$AM, 12, FALSE) / VLOOKUP("buildings|NOx|Asthma symptoms cough", US_national_yearly!$D:$AM, 10, FALSE), 1)</f>
        <v>4.7943230739442375E-3</v>
      </c>
      <c r="E6" s="7">
        <f>$B6 * IFERROR(VLOOKUP("buildings|NOx|Asthma symptoms cough", US_national_yearly!$D:$AM, 13, FALSE) / VLOOKUP("buildings|NOx|Asthma symptoms cough", US_national_yearly!$D:$AM, 10, FALSE), 1)</f>
        <v>4.8581867086243827E-3</v>
      </c>
      <c r="F6" s="7">
        <f>$B6 * IFERROR(VLOOKUP("buildings|NOx|Asthma symptoms cough", US_national_yearly!$D:$AM, 14, FALSE) / VLOOKUP("buildings|NOx|Asthma symptoms cough", US_national_yearly!$D:$AM, 10, FALSE), 1)</f>
        <v>4.922050343304527E-3</v>
      </c>
      <c r="G6" s="7">
        <f>$B6 * IFERROR(VLOOKUP("buildings|NOx|Asthma symptoms cough", US_national_yearly!$D:$AM, 15, FALSE) / VLOOKUP("buildings|NOx|Asthma symptoms cough", US_national_yearly!$D:$AM, 10, FALSE), 1)</f>
        <v>4.9730893541572235E-3</v>
      </c>
      <c r="H6" s="7">
        <f>$B6 * IFERROR(VLOOKUP("buildings|NOx|Asthma symptoms cough", US_national_yearly!$D:$AM, 16, FALSE) / VLOOKUP("buildings|NOx|Asthma symptoms cough", US_national_yearly!$D:$AM, 10, FALSE), 1)</f>
        <v>5.02412836500992E-3</v>
      </c>
      <c r="I6" s="7">
        <f>$B6 * IFERROR(VLOOKUP("buildings|NOx|Asthma symptoms cough", US_national_yearly!$D:$AM, 17, FALSE) / VLOOKUP("buildings|NOx|Asthma symptoms cough", US_national_yearly!$D:$AM, 10, FALSE), 1)</f>
        <v>5.0417914592361807E-3</v>
      </c>
      <c r="J6" s="7">
        <f>$B6 * IFERROR(VLOOKUP("buildings|NOx|Asthma symptoms cough", US_national_yearly!$D:$AM, 18, FALSE) / VLOOKUP("buildings|NOx|Asthma symptoms cough", US_national_yearly!$D:$AM, 10, FALSE), 1)</f>
        <v>5.0594545534624405E-3</v>
      </c>
      <c r="K6" s="7">
        <f>$B6 * IFERROR(VLOOKUP("buildings|NOx|Asthma symptoms cough", US_national_yearly!$D:$AM, 19, FALSE) / VLOOKUP("buildings|NOx|Asthma symptoms cough", US_national_yearly!$D:$AM, 10, FALSE), 1)</f>
        <v>5.0771176476887003E-3</v>
      </c>
      <c r="L6" s="7">
        <f>$B6 * IFERROR(VLOOKUP("buildings|NOx|Asthma symptoms cough", US_national_yearly!$D:$AM, 20, FALSE) / VLOOKUP("buildings|NOx|Asthma symptoms cough", US_national_yearly!$D:$AM, 10, FALSE), 1)</f>
        <v>5.0947807419149602E-3</v>
      </c>
      <c r="M6" s="7">
        <f>$B6 * IFERROR(VLOOKUP("buildings|NOx|Asthma symptoms cough", US_national_yearly!$D:$AM, 21, FALSE) / VLOOKUP("buildings|NOx|Asthma symptoms cough", US_national_yearly!$D:$AM, 10, FALSE), 1)</f>
        <v>5.11244383614122E-3</v>
      </c>
      <c r="N6" s="7">
        <f>$B6 * IFERROR(VLOOKUP("buildings|NOx|Asthma symptoms cough", US_national_yearly!$D:$AM, 22, FALSE) / VLOOKUP("buildings|NOx|Asthma symptoms cough", US_national_yearly!$D:$AM, 10, FALSE), 1)</f>
        <v>5.1328678894026064E-3</v>
      </c>
      <c r="O6" s="7">
        <f>$B6 * IFERROR(VLOOKUP("buildings|NOx|Asthma symptoms cough", US_national_yearly!$D:$AM, 23, FALSE) / VLOOKUP("buildings|NOx|Asthma symptoms cough", US_national_yearly!$D:$AM, 10, FALSE), 1)</f>
        <v>5.153291942663992E-3</v>
      </c>
      <c r="P6" s="7">
        <f>$B6 * IFERROR(VLOOKUP("buildings|NOx|Asthma symptoms cough", US_national_yearly!$D:$AM, 24, FALSE) / VLOOKUP("buildings|NOx|Asthma symptoms cough", US_national_yearly!$D:$AM, 10, FALSE), 1)</f>
        <v>5.1737159959253766E-3</v>
      </c>
      <c r="Q6" s="7">
        <f>$B6 * IFERROR(VLOOKUP("buildings|NOx|Asthma symptoms cough", US_national_yearly!$D:$AM, 25, FALSE) / VLOOKUP("buildings|NOx|Asthma symptoms cough", US_national_yearly!$D:$AM, 10, FALSE), 1)</f>
        <v>5.194140049186763E-3</v>
      </c>
      <c r="R6" s="7">
        <f>$B6 * IFERROR(VLOOKUP("buildings|NOx|Asthma symptoms cough", US_national_yearly!$D:$AM, 26, FALSE) / VLOOKUP("buildings|NOx|Asthma symptoms cough", US_national_yearly!$D:$AM, 10, FALSE), 1)</f>
        <v>5.2145641024481486E-3</v>
      </c>
      <c r="S6" s="7">
        <f>$B6 * IFERROR(VLOOKUP("buildings|NOx|Asthma symptoms cough", US_national_yearly!$D:$AM, 27, FALSE) / VLOOKUP("buildings|NOx|Asthma symptoms cough", US_national_yearly!$D:$AM, 10, FALSE), 1)</f>
        <v>5.2412383488491046E-3</v>
      </c>
      <c r="T6" s="7">
        <f>$B6 * IFERROR(VLOOKUP("buildings|NOx|Asthma symptoms cough", US_national_yearly!$D:$AM, 28, FALSE) / VLOOKUP("buildings|NOx|Asthma symptoms cough", US_national_yearly!$D:$AM, 10, FALSE), 1)</f>
        <v>5.2679125952500598E-3</v>
      </c>
      <c r="U6" s="7">
        <f>$B6 * IFERROR(VLOOKUP("buildings|NOx|Asthma symptoms cough", US_national_yearly!$D:$AM, 29, FALSE) / VLOOKUP("buildings|NOx|Asthma symptoms cough", US_national_yearly!$D:$AM, 10, FALSE), 1)</f>
        <v>5.2945868416510141E-3</v>
      </c>
      <c r="V6" s="7">
        <f>$B6 * IFERROR(VLOOKUP("buildings|NOx|Asthma symptoms cough", US_national_yearly!$D:$AM, 30, FALSE) / VLOOKUP("buildings|NOx|Asthma symptoms cough", US_national_yearly!$D:$AM, 10, FALSE), 1)</f>
        <v>5.321261088051971E-3</v>
      </c>
      <c r="W6" s="7">
        <f>$B6 * IFERROR(VLOOKUP("buildings|NOx|Asthma symptoms cough", US_national_yearly!$D:$AM, 31, FALSE) / VLOOKUP("buildings|NOx|Asthma symptoms cough", US_national_yearly!$D:$AM, 10, FALSE), 1)</f>
        <v>5.3479353344529261E-3</v>
      </c>
      <c r="X6" s="7">
        <f>$B6 * IFERROR(VLOOKUP("buildings|NOx|Asthma symptoms cough", US_national_yearly!$D:$AM, 32, FALSE) / VLOOKUP("buildings|NOx|Asthma symptoms cough", US_national_yearly!$D:$AM, 10, FALSE), 1)</f>
        <v>5.3727193798067847E-3</v>
      </c>
      <c r="Y6" s="7">
        <f>$B6 * IFERROR(VLOOKUP("buildings|NOx|Asthma symptoms cough", US_national_yearly!$D:$AM, 33, FALSE) / VLOOKUP("buildings|NOx|Asthma symptoms cough", US_national_yearly!$D:$AM, 10, FALSE), 1)</f>
        <v>5.3975034251606451E-3</v>
      </c>
      <c r="Z6" s="7">
        <f>$B6 * IFERROR(VLOOKUP("buildings|NOx|Asthma symptoms cough", US_national_yearly!$D:$AM, 34, FALSE) / VLOOKUP("buildings|NOx|Asthma symptoms cough", US_national_yearly!$D:$AM, 10, FALSE), 1)</f>
        <v>5.4222874705145046E-3</v>
      </c>
      <c r="AA6" s="7">
        <f>$B6 * IFERROR(VLOOKUP("buildings|NOx|Asthma symptoms cough", US_national_yearly!$D:$AM, 35, FALSE) / VLOOKUP("buildings|NOx|Asthma symptoms cough", US_national_yearly!$D:$AM, 10, FALSE), 1)</f>
        <v>5.447071515868364E-3</v>
      </c>
      <c r="AB6" s="7">
        <f>$B6 * IFERROR(VLOOKUP("buildings|NOx|Asthma symptoms cough", US_national_yearly!$D:$AM, 36, FALSE) / VLOOKUP("buildings|NOx|Asthma symptoms cough", US_national_yearly!$D:$AM, 10, FALSE), 1)</f>
        <v>5.4718555612222244E-3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6.2841353366767947E-3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6.370135440271262E-3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6.4561355438657285E-3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6.5421356474601958E-3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6.6281357510546623E-3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6.6968659483580004E-3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6.7655961456613385E-3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6.7893816367769616E-3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6.813167127892583E-3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6.836952619008207E-3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6.8607381101238301E-3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6.8845236012394532E-3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6.9120270574788388E-3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6.9395305137182244E-3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6.96703396995761E-3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6.9945374261969956E-3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7.0220408824363811E-3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7.057960979340719E-3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7.0938810762450578E-3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7.1298011731493957E-3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7.1657212700537327E-3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7.2016413669580715E-3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7.2350160796624523E-3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7.2683907923668314E-3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7.3017655050712123E-3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7.3351402177755896E-3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7.3685149304799705E-3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9.6014969634380699E-3</v>
      </c>
      <c r="C8" s="7">
        <f>$B8 * IFERROR(VLOOKUP("buildings|NOx|Asthma symptoms wheeze", US_national_yearly!$D:$AM, 11, FALSE) / VLOOKUP("buildings|NOx|Asthma symptoms wheeze", US_national_yearly!$D:$AM, 10, FALSE), 1)</f>
        <v>9.7328960647048764E-3</v>
      </c>
      <c r="D8" s="7">
        <f>$B8 * IFERROR(VLOOKUP("buildings|NOx|Asthma symptoms wheeze", US_national_yearly!$D:$AM, 12, FALSE) / VLOOKUP("buildings|NOx|Asthma symptoms wheeze", US_national_yearly!$D:$AM, 10, FALSE), 1)</f>
        <v>9.8642951659716829E-3</v>
      </c>
      <c r="E8" s="7">
        <f>$B8 * IFERROR(VLOOKUP("buildings|NOx|Asthma symptoms wheeze", US_national_yearly!$D:$AM, 13, FALSE) / VLOOKUP("buildings|NOx|Asthma symptoms wheeze", US_national_yearly!$D:$AM, 10, FALSE), 1)</f>
        <v>9.995694267238486E-3</v>
      </c>
      <c r="F8" s="7">
        <f>$B8 * IFERROR(VLOOKUP("buildings|NOx|Asthma symptoms wheeze", US_national_yearly!$D:$AM, 14, FALSE) / VLOOKUP("buildings|NOx|Asthma symptoms wheeze", US_national_yearly!$D:$AM, 10, FALSE), 1)</f>
        <v>1.0127093368505294E-2</v>
      </c>
      <c r="G8" s="7">
        <f>$B8 * IFERROR(VLOOKUP("buildings|NOx|Asthma symptoms wheeze", US_national_yearly!$D:$AM, 15, FALSE) / VLOOKUP("buildings|NOx|Asthma symptoms wheeze", US_national_yearly!$D:$AM, 10, FALSE), 1)</f>
        <v>1.0232105871932509E-2</v>
      </c>
      <c r="H8" s="7">
        <f>$B8 * IFERROR(VLOOKUP("buildings|NOx|Asthma symptoms wheeze", US_national_yearly!$D:$AM, 16, FALSE) / VLOOKUP("buildings|NOx|Asthma symptoms wheeze", US_national_yearly!$D:$AM, 10, FALSE), 1)</f>
        <v>1.033711837535972E-2</v>
      </c>
      <c r="I8" s="7">
        <f>$B8 * IFERROR(VLOOKUP("buildings|NOx|Asthma symptoms wheeze", US_national_yearly!$D:$AM, 17, FALSE) / VLOOKUP("buildings|NOx|Asthma symptoms wheeze", US_national_yearly!$D:$AM, 10, FALSE), 1)</f>
        <v>1.0373460101272271E-2</v>
      </c>
      <c r="J8" s="7">
        <f>$B8 * IFERROR(VLOOKUP("buildings|NOx|Asthma symptoms wheeze", US_national_yearly!$D:$AM, 18, FALSE) / VLOOKUP("buildings|NOx|Asthma symptoms wheeze", US_national_yearly!$D:$AM, 10, FALSE), 1)</f>
        <v>1.0409801827184819E-2</v>
      </c>
      <c r="K8" s="7">
        <f>$B8 * IFERROR(VLOOKUP("buildings|NOx|Asthma symptoms wheeze", US_national_yearly!$D:$AM, 19, FALSE) / VLOOKUP("buildings|NOx|Asthma symptoms wheeze", US_national_yearly!$D:$AM, 10, FALSE), 1)</f>
        <v>1.0446143553097366E-2</v>
      </c>
      <c r="L8" s="7">
        <f>$B8 * IFERROR(VLOOKUP("buildings|NOx|Asthma symptoms wheeze", US_national_yearly!$D:$AM, 20, FALSE) / VLOOKUP("buildings|NOx|Asthma symptoms wheeze", US_national_yearly!$D:$AM, 10, FALSE), 1)</f>
        <v>1.0482485279009914E-2</v>
      </c>
      <c r="M8" s="7">
        <f>$B8 * IFERROR(VLOOKUP("buildings|NOx|Asthma symptoms wheeze", US_national_yearly!$D:$AM, 21, FALSE) / VLOOKUP("buildings|NOx|Asthma symptoms wheeze", US_national_yearly!$D:$AM, 10, FALSE), 1)</f>
        <v>1.0518827004922463E-2</v>
      </c>
      <c r="N8" s="7">
        <f>$B8 * IFERROR(VLOOKUP("buildings|NOx|Asthma symptoms wheeze", US_national_yearly!$D:$AM, 22, FALSE) / VLOOKUP("buildings|NOx|Asthma symptoms wheeze", US_national_yearly!$D:$AM, 10, FALSE), 1)</f>
        <v>1.0560849389911642E-2</v>
      </c>
      <c r="O8" s="7">
        <f>$B8 * IFERROR(VLOOKUP("buildings|NOx|Asthma symptoms wheeze", US_national_yearly!$D:$AM, 23, FALSE) / VLOOKUP("buildings|NOx|Asthma symptoms wheeze", US_national_yearly!$D:$AM, 10, FALSE), 1)</f>
        <v>1.0602871774900822E-2</v>
      </c>
      <c r="P8" s="7">
        <f>$B8 * IFERROR(VLOOKUP("buildings|NOx|Asthma symptoms wheeze", US_national_yearly!$D:$AM, 24, FALSE) / VLOOKUP("buildings|NOx|Asthma symptoms wheeze", US_national_yearly!$D:$AM, 10, FALSE), 1)</f>
        <v>1.0644894159890001E-2</v>
      </c>
      <c r="Q8" s="7">
        <f>$B8 * IFERROR(VLOOKUP("buildings|NOx|Asthma symptoms wheeze", US_national_yearly!$D:$AM, 25, FALSE) / VLOOKUP("buildings|NOx|Asthma symptoms wheeze", US_national_yearly!$D:$AM, 10, FALSE), 1)</f>
        <v>1.0686916544879179E-2</v>
      </c>
      <c r="R8" s="7">
        <f>$B8 * IFERROR(VLOOKUP("buildings|NOx|Asthma symptoms wheeze", US_national_yearly!$D:$AM, 26, FALSE) / VLOOKUP("buildings|NOx|Asthma symptoms wheeze", US_national_yearly!$D:$AM, 10, FALSE), 1)</f>
        <v>1.0728938929868358E-2</v>
      </c>
      <c r="S8" s="7">
        <f>$B8 * IFERROR(VLOOKUP("buildings|NOx|Asthma symptoms wheeze", US_national_yearly!$D:$AM, 27, FALSE) / VLOOKUP("buildings|NOx|Asthma symptoms wheeze", US_national_yearly!$D:$AM, 10, FALSE), 1)</f>
        <v>1.078382105524653E-2</v>
      </c>
      <c r="T8" s="7">
        <f>$B8 * IFERROR(VLOOKUP("buildings|NOx|Asthma symptoms wheeze", US_national_yearly!$D:$AM, 28, FALSE) / VLOOKUP("buildings|NOx|Asthma symptoms wheeze", US_national_yearly!$D:$AM, 10, FALSE), 1)</f>
        <v>1.0838703180624704E-2</v>
      </c>
      <c r="U8" s="7">
        <f>$B8 * IFERROR(VLOOKUP("buildings|NOx|Asthma symptoms wheeze", US_national_yearly!$D:$AM, 29, FALSE) / VLOOKUP("buildings|NOx|Asthma symptoms wheeze", US_national_yearly!$D:$AM, 10, FALSE), 1)</f>
        <v>1.0893585306002877E-2</v>
      </c>
      <c r="V8" s="7">
        <f>$B8 * IFERROR(VLOOKUP("buildings|NOx|Asthma symptoms wheeze", US_national_yearly!$D:$AM, 30, FALSE) / VLOOKUP("buildings|NOx|Asthma symptoms wheeze", US_national_yearly!$D:$AM, 10, FALSE), 1)</f>
        <v>1.0948467431381049E-2</v>
      </c>
      <c r="W8" s="7">
        <f>$B8 * IFERROR(VLOOKUP("buildings|NOx|Asthma symptoms wheeze", US_national_yearly!$D:$AM, 31, FALSE) / VLOOKUP("buildings|NOx|Asthma symptoms wheeze", US_national_yearly!$D:$AM, 10, FALSE), 1)</f>
        <v>1.1003349556759223E-2</v>
      </c>
      <c r="X8" s="7">
        <f>$B8 * IFERROR(VLOOKUP("buildings|NOx|Asthma symptoms wheeze", US_national_yearly!$D:$AM, 32, FALSE) / VLOOKUP("buildings|NOx|Asthma symptoms wheeze", US_national_yearly!$D:$AM, 10, FALSE), 1)</f>
        <v>1.1054342603164839E-2</v>
      </c>
      <c r="Y8" s="7">
        <f>$B8 * IFERROR(VLOOKUP("buildings|NOx|Asthma symptoms wheeze", US_national_yearly!$D:$AM, 33, FALSE) / VLOOKUP("buildings|NOx|Asthma symptoms wheeze", US_national_yearly!$D:$AM, 10, FALSE), 1)</f>
        <v>1.1105335649570456E-2</v>
      </c>
      <c r="Z8" s="7">
        <f>$B8 * IFERROR(VLOOKUP("buildings|NOx|Asthma symptoms wheeze", US_national_yearly!$D:$AM, 34, FALSE) / VLOOKUP("buildings|NOx|Asthma symptoms wheeze", US_national_yearly!$D:$AM, 10, FALSE), 1)</f>
        <v>1.1156328695976075E-2</v>
      </c>
      <c r="AA8" s="7">
        <f>$B8 * IFERROR(VLOOKUP("buildings|NOx|Asthma symptoms wheeze", US_national_yearly!$D:$AM, 35, FALSE) / VLOOKUP("buildings|NOx|Asthma symptoms wheeze", US_national_yearly!$D:$AM, 10, FALSE), 1)</f>
        <v>1.1207321742381692E-2</v>
      </c>
      <c r="AB8" s="7">
        <f>$B8 * IFERROR(VLOOKUP("buildings|NOx|Asthma symptoms wheeze", US_national_yearly!$D:$AM, 36, FALSE) / VLOOKUP("buildings|NOx|Asthma symptoms wheeze", US_national_yearly!$D:$AM, 10, FALSE), 1)</f>
        <v>1.1258314788787312E-2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1.2852183689171325E-4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1.3173287151017966E-4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1.3494390612864607E-4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1.3815494074711249E-4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1.4136597536557893E-4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1.4443582217191925E-4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1.4750566897825951E-4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1.5011343151383996E-4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1.5272119404942044E-4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1.5532895658500092E-4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1.5793671912058137E-4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1.6054448165616185E-4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1.6228775656274756E-4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1.6403103146933327E-4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1.6577430637591898E-4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1.6751758128250474E-4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1.6926085618909043E-4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1.7019554740125271E-4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1.7113023861341497E-4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1.7206492982557725E-4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1.7299962103773953E-4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1.7393431224990176E-4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1.7457415248763814E-4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1.7521399272537447E-4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1.7585383296311085E-4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1.7649367320084718E-4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1.7713351343858356E-4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8.015222429011825E-4</v>
      </c>
      <c r="C13" s="7">
        <f>$B13 * IFERROR(VLOOKUP("buildings|NOx|Non-fatal heart attacks", US_national_yearly!$D:$AM, 11, FALSE) / VLOOKUP("buildings|NOx|Non-fatal heart attacks", US_national_yearly!$D:$AM, 10, FALSE), 1)</f>
        <v>8.2445216007651274E-4</v>
      </c>
      <c r="D13" s="7">
        <f>$B13 * IFERROR(VLOOKUP("buildings|NOx|Non-fatal heart attacks", US_national_yearly!$D:$AM, 12, FALSE) / VLOOKUP("buildings|NOx|Non-fatal heart attacks", US_national_yearly!$D:$AM, 10, FALSE), 1)</f>
        <v>8.473820772518432E-4</v>
      </c>
      <c r="E13" s="7">
        <f>$B13 * IFERROR(VLOOKUP("buildings|NOx|Non-fatal heart attacks", US_national_yearly!$D:$AM, 13, FALSE) / VLOOKUP("buildings|NOx|Non-fatal heart attacks", US_national_yearly!$D:$AM, 10, FALSE), 1)</f>
        <v>8.7031199442717344E-4</v>
      </c>
      <c r="F13" s="7">
        <f>$B13 * IFERROR(VLOOKUP("buildings|NOx|Non-fatal heart attacks", US_national_yearly!$D:$AM, 14, FALSE) / VLOOKUP("buildings|NOx|Non-fatal heart attacks", US_national_yearly!$D:$AM, 10, FALSE), 1)</f>
        <v>8.9324191160250358E-4</v>
      </c>
      <c r="G13" s="7">
        <f>$B13 * IFERROR(VLOOKUP("buildings|NOx|Non-fatal heart attacks", US_national_yearly!$D:$AM, 15, FALSE) / VLOOKUP("buildings|NOx|Non-fatal heart attacks", US_national_yearly!$D:$AM, 10, FALSE), 1)</f>
        <v>9.1467442806289576E-4</v>
      </c>
      <c r="H13" s="7">
        <f>$B13 * IFERROR(VLOOKUP("buildings|NOx|Non-fatal heart attacks", US_national_yearly!$D:$AM, 16, FALSE) / VLOOKUP("buildings|NOx|Non-fatal heart attacks", US_national_yearly!$D:$AM, 10, FALSE), 1)</f>
        <v>9.3610694452328795E-4</v>
      </c>
      <c r="I13" s="7">
        <f>$B13 * IFERROR(VLOOKUP("buildings|NOx|Non-fatal heart attacks", US_national_yearly!$D:$AM, 17, FALSE) / VLOOKUP("buildings|NOx|Non-fatal heart attacks", US_national_yearly!$D:$AM, 10, FALSE), 1)</f>
        <v>9.5301565934374853E-4</v>
      </c>
      <c r="J13" s="7">
        <f>$B13 * IFERROR(VLOOKUP("buildings|NOx|Non-fatal heart attacks", US_national_yearly!$D:$AM, 18, FALSE) / VLOOKUP("buildings|NOx|Non-fatal heart attacks", US_national_yearly!$D:$AM, 10, FALSE), 1)</f>
        <v>9.6992437416420899E-4</v>
      </c>
      <c r="K13" s="7">
        <f>$B13 * IFERROR(VLOOKUP("buildings|NOx|Non-fatal heart attacks", US_national_yearly!$D:$AM, 19, FALSE) / VLOOKUP("buildings|NOx|Non-fatal heart attacks", US_national_yearly!$D:$AM, 10, FALSE), 1)</f>
        <v>9.8683308898467E-4</v>
      </c>
      <c r="L13" s="7">
        <f>$B13 * IFERROR(VLOOKUP("buildings|NOx|Non-fatal heart attacks", US_national_yearly!$D:$AM, 20, FALSE) / VLOOKUP("buildings|NOx|Non-fatal heart attacks", US_national_yearly!$D:$AM, 10, FALSE), 1)</f>
        <v>1.0037418038051299E-3</v>
      </c>
      <c r="M13" s="7">
        <f>$B13 * IFERROR(VLOOKUP("buildings|NOx|Non-fatal heart attacks", US_national_yearly!$D:$AM, 21, FALSE) / VLOOKUP("buildings|NOx|Non-fatal heart attacks", US_national_yearly!$D:$AM, 10, FALSE), 1)</f>
        <v>1.0206505186255907E-3</v>
      </c>
      <c r="N13" s="7">
        <f>$B13 * IFERROR(VLOOKUP("buildings|NOx|Non-fatal heart attacks", US_national_yearly!$D:$AM, 22, FALSE) / VLOOKUP("buildings|NOx|Non-fatal heart attacks", US_national_yearly!$D:$AM, 10, FALSE), 1)</f>
        <v>1.0308266957758183E-3</v>
      </c>
      <c r="O13" s="7">
        <f>$B13 * IFERROR(VLOOKUP("buildings|NOx|Non-fatal heart attacks", US_national_yearly!$D:$AM, 23, FALSE) / VLOOKUP("buildings|NOx|Non-fatal heart attacks", US_national_yearly!$D:$AM, 10, FALSE), 1)</f>
        <v>1.0410028729260455E-3</v>
      </c>
      <c r="P13" s="7">
        <f>$B13 * IFERROR(VLOOKUP("buildings|NOx|Non-fatal heart attacks", US_national_yearly!$D:$AM, 24, FALSE) / VLOOKUP("buildings|NOx|Non-fatal heart attacks", US_national_yearly!$D:$AM, 10, FALSE), 1)</f>
        <v>1.0511790500762732E-3</v>
      </c>
      <c r="Q13" s="7">
        <f>$B13 * IFERROR(VLOOKUP("buildings|NOx|Non-fatal heart attacks", US_national_yearly!$D:$AM, 25, FALSE) / VLOOKUP("buildings|NOx|Non-fatal heart attacks", US_national_yearly!$D:$AM, 10, FALSE), 1)</f>
        <v>1.0613552272265006E-3</v>
      </c>
      <c r="R13" s="7">
        <f>$B13 * IFERROR(VLOOKUP("buildings|NOx|Non-fatal heart attacks", US_national_yearly!$D:$AM, 26, FALSE) / VLOOKUP("buildings|NOx|Non-fatal heart attacks", US_national_yearly!$D:$AM, 10, FALSE), 1)</f>
        <v>1.071531404376728E-3</v>
      </c>
      <c r="S13" s="7">
        <f>$B13 * IFERROR(VLOOKUP("buildings|NOx|Non-fatal heart attacks", US_national_yearly!$D:$AM, 27, FALSE) / VLOOKUP("buildings|NOx|Non-fatal heart attacks", US_national_yearly!$D:$AM, 10, FALSE), 1)</f>
        <v>1.0761558584867915E-3</v>
      </c>
      <c r="T13" s="7">
        <f>$B13 * IFERROR(VLOOKUP("buildings|NOx|Non-fatal heart attacks", US_national_yearly!$D:$AM, 28, FALSE) / VLOOKUP("buildings|NOx|Non-fatal heart attacks", US_national_yearly!$D:$AM, 10, FALSE), 1)</f>
        <v>1.0807803125968555E-3</v>
      </c>
      <c r="U13" s="7">
        <f>$B13 * IFERROR(VLOOKUP("buildings|NOx|Non-fatal heart attacks", US_national_yearly!$D:$AM, 29, FALSE) / VLOOKUP("buildings|NOx|Non-fatal heart attacks", US_national_yearly!$D:$AM, 10, FALSE), 1)</f>
        <v>1.085404766706919E-3</v>
      </c>
      <c r="V13" s="7">
        <f>$B13 * IFERROR(VLOOKUP("buildings|NOx|Non-fatal heart attacks", US_national_yearly!$D:$AM, 30, FALSE) / VLOOKUP("buildings|NOx|Non-fatal heart attacks", US_national_yearly!$D:$AM, 10, FALSE), 1)</f>
        <v>1.0900292208169825E-3</v>
      </c>
      <c r="W13" s="7">
        <f>$B13 * IFERROR(VLOOKUP("buildings|NOx|Non-fatal heart attacks", US_national_yearly!$D:$AM, 31, FALSE) / VLOOKUP("buildings|NOx|Non-fatal heart attacks", US_national_yearly!$D:$AM, 10, FALSE), 1)</f>
        <v>1.0946536749270462E-3</v>
      </c>
      <c r="X13" s="7">
        <f>$B13 * IFERROR(VLOOKUP("buildings|NOx|Non-fatal heart attacks", US_national_yearly!$D:$AM, 32, FALSE) / VLOOKUP("buildings|NOx|Non-fatal heart attacks", US_national_yearly!$D:$AM, 10, FALSE), 1)</f>
        <v>1.09774705815045E-3</v>
      </c>
      <c r="Y13" s="7">
        <f>$B13 * IFERROR(VLOOKUP("buildings|NOx|Non-fatal heart attacks", US_national_yearly!$D:$AM, 33, FALSE) / VLOOKUP("buildings|NOx|Non-fatal heart attacks", US_national_yearly!$D:$AM, 10, FALSE), 1)</f>
        <v>1.1008404413738535E-3</v>
      </c>
      <c r="Z13" s="7">
        <f>$B13 * IFERROR(VLOOKUP("buildings|NOx|Non-fatal heart attacks", US_national_yearly!$D:$AM, 34, FALSE) / VLOOKUP("buildings|NOx|Non-fatal heart attacks", US_national_yearly!$D:$AM, 10, FALSE), 1)</f>
        <v>1.1039338245972575E-3</v>
      </c>
      <c r="AA13" s="7">
        <f>$B13 * IFERROR(VLOOKUP("buildings|NOx|Non-fatal heart attacks", US_national_yearly!$D:$AM, 35, FALSE) / VLOOKUP("buildings|NOx|Non-fatal heart attacks", US_national_yearly!$D:$AM, 10, FALSE), 1)</f>
        <v>1.1070272078206611E-3</v>
      </c>
      <c r="AB13" s="7">
        <f>$B13 * IFERROR(VLOOKUP("buildings|NOx|Non-fatal heart attacks", US_national_yearly!$D:$AM, 36, FALSE) / VLOOKUP("buildings|NOx|Non-fatal heart attacks", US_national_yearly!$D:$AM, 10, FALSE), 1)</f>
        <v>1.1101205910440646E-3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0.58594355811346077</v>
      </c>
      <c r="C14" s="7">
        <f>$B14 * IFERROR(VLOOKUP("buildings|NOx|Minor restricted activity days", US_national_yearly!$D:$AM, 11, FALSE) / VLOOKUP("buildings|NOx|Minor restricted activity days", US_national_yearly!$D:$AM, 10, FALSE), 1)</f>
        <v>0.58685280394415684</v>
      </c>
      <c r="D14" s="7">
        <f>$B14 * IFERROR(VLOOKUP("buildings|NOx|Minor restricted activity days", US_national_yearly!$D:$AM, 12, FALSE) / VLOOKUP("buildings|NOx|Minor restricted activity days", US_national_yearly!$D:$AM, 10, FALSE), 1)</f>
        <v>0.5877620497748528</v>
      </c>
      <c r="E14" s="7">
        <f>$B14 * IFERROR(VLOOKUP("buildings|NOx|Minor restricted activity days", US_national_yearly!$D:$AM, 13, FALSE) / VLOOKUP("buildings|NOx|Minor restricted activity days", US_national_yearly!$D:$AM, 10, FALSE), 1)</f>
        <v>0.58867129560554887</v>
      </c>
      <c r="F14" s="7">
        <f>$B14 * IFERROR(VLOOKUP("buildings|NOx|Minor restricted activity days", US_national_yearly!$D:$AM, 14, FALSE) / VLOOKUP("buildings|NOx|Minor restricted activity days", US_national_yearly!$D:$AM, 10, FALSE), 1)</f>
        <v>0.58958054143624483</v>
      </c>
      <c r="G14" s="7">
        <f>$B14 * IFERROR(VLOOKUP("buildings|NOx|Minor restricted activity days", US_national_yearly!$D:$AM, 15, FALSE) / VLOOKUP("buildings|NOx|Minor restricted activity days", US_national_yearly!$D:$AM, 10, FALSE), 1)</f>
        <v>0.5912140031489207</v>
      </c>
      <c r="H14" s="7">
        <f>$B14 * IFERROR(VLOOKUP("buildings|NOx|Minor restricted activity days", US_national_yearly!$D:$AM, 16, FALSE) / VLOOKUP("buildings|NOx|Minor restricted activity days", US_national_yearly!$D:$AM, 10, FALSE), 1)</f>
        <v>0.59284746486159645</v>
      </c>
      <c r="I14" s="7">
        <f>$B14 * IFERROR(VLOOKUP("buildings|NOx|Minor restricted activity days", US_national_yearly!$D:$AM, 17, FALSE) / VLOOKUP("buildings|NOx|Minor restricted activity days", US_national_yearly!$D:$AM, 10, FALSE), 1)</f>
        <v>0.59603224917233522</v>
      </c>
      <c r="J14" s="7">
        <f>$B14 * IFERROR(VLOOKUP("buildings|NOx|Minor restricted activity days", US_national_yearly!$D:$AM, 18, FALSE) / VLOOKUP("buildings|NOx|Minor restricted activity days", US_national_yearly!$D:$AM, 10, FALSE), 1)</f>
        <v>0.59921703348307398</v>
      </c>
      <c r="K14" s="7">
        <f>$B14 * IFERROR(VLOOKUP("buildings|NOx|Minor restricted activity days", US_national_yearly!$D:$AM, 19, FALSE) / VLOOKUP("buildings|NOx|Minor restricted activity days", US_national_yearly!$D:$AM, 10, FALSE), 1)</f>
        <v>0.60240181779381263</v>
      </c>
      <c r="L14" s="7">
        <f>$B14 * IFERROR(VLOOKUP("buildings|NOx|Minor restricted activity days", US_national_yearly!$D:$AM, 20, FALSE) / VLOOKUP("buildings|NOx|Minor restricted activity days", US_national_yearly!$D:$AM, 10, FALSE), 1)</f>
        <v>0.6055866021045514</v>
      </c>
      <c r="M14" s="7">
        <f>$B14 * IFERROR(VLOOKUP("buildings|NOx|Minor restricted activity days", US_national_yearly!$D:$AM, 21, FALSE) / VLOOKUP("buildings|NOx|Minor restricted activity days", US_national_yearly!$D:$AM, 10, FALSE), 1)</f>
        <v>0.60877138641529016</v>
      </c>
      <c r="N14" s="7">
        <f>$B14 * IFERROR(VLOOKUP("buildings|NOx|Minor restricted activity days", US_national_yearly!$D:$AM, 22, FALSE) / VLOOKUP("buildings|NOx|Minor restricted activity days", US_national_yearly!$D:$AM, 10, FALSE), 1)</f>
        <v>0.61332756523634313</v>
      </c>
      <c r="O14" s="7">
        <f>$B14 * IFERROR(VLOOKUP("buildings|NOx|Minor restricted activity days", US_national_yearly!$D:$AM, 23, FALSE) / VLOOKUP("buildings|NOx|Minor restricted activity days", US_national_yearly!$D:$AM, 10, FALSE), 1)</f>
        <v>0.6178837440573961</v>
      </c>
      <c r="P14" s="7">
        <f>$B14 * IFERROR(VLOOKUP("buildings|NOx|Minor restricted activity days", US_national_yearly!$D:$AM, 24, FALSE) / VLOOKUP("buildings|NOx|Minor restricted activity days", US_national_yearly!$D:$AM, 10, FALSE), 1)</f>
        <v>0.62243992287844918</v>
      </c>
      <c r="Q14" s="7">
        <f>$B14 * IFERROR(VLOOKUP("buildings|NOx|Minor restricted activity days", US_national_yearly!$D:$AM, 25, FALSE) / VLOOKUP("buildings|NOx|Minor restricted activity days", US_national_yearly!$D:$AM, 10, FALSE), 1)</f>
        <v>0.62699610169950204</v>
      </c>
      <c r="R14" s="7">
        <f>$B14 * IFERROR(VLOOKUP("buildings|NOx|Minor restricted activity days", US_national_yearly!$D:$AM, 26, FALSE) / VLOOKUP("buildings|NOx|Minor restricted activity days", US_national_yearly!$D:$AM, 10, FALSE), 1)</f>
        <v>0.63155228052055501</v>
      </c>
      <c r="S14" s="7">
        <f>$B14 * IFERROR(VLOOKUP("buildings|NOx|Minor restricted activity days", US_national_yearly!$D:$AM, 27, FALSE) / VLOOKUP("buildings|NOx|Minor restricted activity days", US_national_yearly!$D:$AM, 10, FALSE), 1)</f>
        <v>0.63610714774143173</v>
      </c>
      <c r="T14" s="7">
        <f>$B14 * IFERROR(VLOOKUP("buildings|NOx|Minor restricted activity days", US_national_yearly!$D:$AM, 28, FALSE) / VLOOKUP("buildings|NOx|Minor restricted activity days", US_national_yearly!$D:$AM, 10, FALSE), 1)</f>
        <v>0.64066201496230846</v>
      </c>
      <c r="U14" s="7">
        <f>$B14 * IFERROR(VLOOKUP("buildings|NOx|Minor restricted activity days", US_national_yearly!$D:$AM, 29, FALSE) / VLOOKUP("buildings|NOx|Minor restricted activity days", US_national_yearly!$D:$AM, 10, FALSE), 1)</f>
        <v>0.64521688218318529</v>
      </c>
      <c r="V14" s="7">
        <f>$B14 * IFERROR(VLOOKUP("buildings|NOx|Minor restricted activity days", US_national_yearly!$D:$AM, 30, FALSE) / VLOOKUP("buildings|NOx|Minor restricted activity days", US_national_yearly!$D:$AM, 10, FALSE), 1)</f>
        <v>0.6497717494040619</v>
      </c>
      <c r="W14" s="7">
        <f>$B14 * IFERROR(VLOOKUP("buildings|NOx|Minor restricted activity days", US_national_yearly!$D:$AM, 31, FALSE) / VLOOKUP("buildings|NOx|Minor restricted activity days", US_national_yearly!$D:$AM, 10, FALSE), 1)</f>
        <v>0.65432661662493863</v>
      </c>
      <c r="X14" s="7">
        <f>$B14 * IFERROR(VLOOKUP("buildings|NOx|Minor restricted activity days", US_national_yearly!$D:$AM, 32, FALSE) / VLOOKUP("buildings|NOx|Minor restricted activity days", US_national_yearly!$D:$AM, 10, FALSE), 1)</f>
        <v>0.65817885493338801</v>
      </c>
      <c r="Y14" s="7">
        <f>$B14 * IFERROR(VLOOKUP("buildings|NOx|Minor restricted activity days", US_national_yearly!$D:$AM, 33, FALSE) / VLOOKUP("buildings|NOx|Minor restricted activity days", US_national_yearly!$D:$AM, 10, FALSE), 1)</f>
        <v>0.66203109324183762</v>
      </c>
      <c r="Z14" s="7">
        <f>$B14 * IFERROR(VLOOKUP("buildings|NOx|Minor restricted activity days", US_national_yearly!$D:$AM, 34, FALSE) / VLOOKUP("buildings|NOx|Minor restricted activity days", US_national_yearly!$D:$AM, 10, FALSE), 1)</f>
        <v>0.66588333155028689</v>
      </c>
      <c r="AA14" s="7">
        <f>$B14 * IFERROR(VLOOKUP("buildings|NOx|Minor restricted activity days", US_national_yearly!$D:$AM, 35, FALSE) / VLOOKUP("buildings|NOx|Minor restricted activity days", US_national_yearly!$D:$AM, 10, FALSE), 1)</f>
        <v>0.66973556985873639</v>
      </c>
      <c r="AB14" s="7">
        <f>$B14 * IFERROR(VLOOKUP("buildings|NOx|Minor restricted activity days", US_national_yearly!$D:$AM, 36, FALSE) / VLOOKUP("buildings|NOx|Minor restricted activity days", US_national_yearly!$D:$AM, 10, FALSE), 1)</f>
        <v>0.67358780816718578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9.8826324587950765E-2</v>
      </c>
      <c r="C15" s="7">
        <f>$B15 * IFERROR(VLOOKUP("buildings|NOx|Work loss days", US_national_yearly!$D:$AM, 11, FALSE) / VLOOKUP("buildings|NOx|Work loss days", US_national_yearly!$D:$AM, 10, FALSE), 1)</f>
        <v>9.9047867024771821E-2</v>
      </c>
      <c r="D15" s="7">
        <f>$B15 * IFERROR(VLOOKUP("buildings|NOx|Work loss days", US_national_yearly!$D:$AM, 12, FALSE) / VLOOKUP("buildings|NOx|Work loss days", US_national_yearly!$D:$AM, 10, FALSE), 1)</f>
        <v>9.9269409461592864E-2</v>
      </c>
      <c r="E15" s="7">
        <f>$B15 * IFERROR(VLOOKUP("buildings|NOx|Work loss days", US_national_yearly!$D:$AM, 13, FALSE) / VLOOKUP("buildings|NOx|Work loss days", US_national_yearly!$D:$AM, 10, FALSE), 1)</f>
        <v>9.9490951898413893E-2</v>
      </c>
      <c r="F15" s="7">
        <f>$B15 * IFERROR(VLOOKUP("buildings|NOx|Work loss days", US_national_yearly!$D:$AM, 14, FALSE) / VLOOKUP("buildings|NOx|Work loss days", US_national_yearly!$D:$AM, 10, FALSE), 1)</f>
        <v>9.9712494335234964E-2</v>
      </c>
      <c r="G15" s="7">
        <f>$B15 * IFERROR(VLOOKUP("buildings|NOx|Work loss days", US_national_yearly!$D:$AM, 15, FALSE) / VLOOKUP("buildings|NOx|Work loss days", US_national_yearly!$D:$AM, 10, FALSE), 1)</f>
        <v>0.1000351957327146</v>
      </c>
      <c r="H15" s="7">
        <f>$B15 * IFERROR(VLOOKUP("buildings|NOx|Work loss days", US_national_yearly!$D:$AM, 16, FALSE) / VLOOKUP("buildings|NOx|Work loss days", US_national_yearly!$D:$AM, 10, FALSE), 1)</f>
        <v>0.10035789713019425</v>
      </c>
      <c r="I15" s="7">
        <f>$B15 * IFERROR(VLOOKUP("buildings|NOx|Work loss days", US_national_yearly!$D:$AM, 17, FALSE) / VLOOKUP("buildings|NOx|Work loss days", US_national_yearly!$D:$AM, 10, FALSE), 1)</f>
        <v>0.10087980255792631</v>
      </c>
      <c r="J15" s="7">
        <f>$B15 * IFERROR(VLOOKUP("buildings|NOx|Work loss days", US_national_yearly!$D:$AM, 18, FALSE) / VLOOKUP("buildings|NOx|Work loss days", US_national_yearly!$D:$AM, 10, FALSE), 1)</f>
        <v>0.10140170798565834</v>
      </c>
      <c r="K15" s="7">
        <f>$B15 * IFERROR(VLOOKUP("buildings|NOx|Work loss days", US_national_yearly!$D:$AM, 19, FALSE) / VLOOKUP("buildings|NOx|Work loss days", US_national_yearly!$D:$AM, 10, FALSE), 1)</f>
        <v>0.1019236134133904</v>
      </c>
      <c r="L15" s="7">
        <f>$B15 * IFERROR(VLOOKUP("buildings|NOx|Work loss days", US_national_yearly!$D:$AM, 20, FALSE) / VLOOKUP("buildings|NOx|Work loss days", US_national_yearly!$D:$AM, 10, FALSE), 1)</f>
        <v>0.10244551884112246</v>
      </c>
      <c r="M15" s="7">
        <f>$B15 * IFERROR(VLOOKUP("buildings|NOx|Work loss days", US_national_yearly!$D:$AM, 21, FALSE) / VLOOKUP("buildings|NOx|Work loss days", US_national_yearly!$D:$AM, 10, FALSE), 1)</f>
        <v>0.1029674242688545</v>
      </c>
      <c r="N15" s="7">
        <f>$B15 * IFERROR(VLOOKUP("buildings|NOx|Work loss days", US_national_yearly!$D:$AM, 22, FALSE) / VLOOKUP("buildings|NOx|Work loss days", US_national_yearly!$D:$AM, 10, FALSE), 1)</f>
        <v>0.10364642409120847</v>
      </c>
      <c r="O15" s="7">
        <f>$B15 * IFERROR(VLOOKUP("buildings|NOx|Work loss days", US_national_yearly!$D:$AM, 23, FALSE) / VLOOKUP("buildings|NOx|Work loss days", US_national_yearly!$D:$AM, 10, FALSE), 1)</f>
        <v>0.10432542391356243</v>
      </c>
      <c r="P15" s="7">
        <f>$B15 * IFERROR(VLOOKUP("buildings|NOx|Work loss days", US_national_yearly!$D:$AM, 24, FALSE) / VLOOKUP("buildings|NOx|Work loss days", US_national_yearly!$D:$AM, 10, FALSE), 1)</f>
        <v>0.10500442373591641</v>
      </c>
      <c r="Q15" s="7">
        <f>$B15 * IFERROR(VLOOKUP("buildings|NOx|Work loss days", US_national_yearly!$D:$AM, 25, FALSE) / VLOOKUP("buildings|NOx|Work loss days", US_national_yearly!$D:$AM, 10, FALSE), 1)</f>
        <v>0.1056834235582704</v>
      </c>
      <c r="R15" s="7">
        <f>$B15 * IFERROR(VLOOKUP("buildings|NOx|Work loss days", US_national_yearly!$D:$AM, 26, FALSE) / VLOOKUP("buildings|NOx|Work loss days", US_national_yearly!$D:$AM, 10, FALSE), 1)</f>
        <v>0.10636242338062438</v>
      </c>
      <c r="S15" s="7">
        <f>$B15 * IFERROR(VLOOKUP("buildings|NOx|Work loss days", US_national_yearly!$D:$AM, 27, FALSE) / VLOOKUP("buildings|NOx|Work loss days", US_national_yearly!$D:$AM, 10, FALSE), 1)</f>
        <v>0.10711904968881891</v>
      </c>
      <c r="T15" s="7">
        <f>$B15 * IFERROR(VLOOKUP("buildings|NOx|Work loss days", US_national_yearly!$D:$AM, 28, FALSE) / VLOOKUP("buildings|NOx|Work loss days", US_national_yearly!$D:$AM, 10, FALSE), 1)</f>
        <v>0.10787567599701348</v>
      </c>
      <c r="U15" s="7">
        <f>$B15 * IFERROR(VLOOKUP("buildings|NOx|Work loss days", US_national_yearly!$D:$AM, 29, FALSE) / VLOOKUP("buildings|NOx|Work loss days", US_national_yearly!$D:$AM, 10, FALSE), 1)</f>
        <v>0.10863230230520803</v>
      </c>
      <c r="V15" s="7">
        <f>$B15 * IFERROR(VLOOKUP("buildings|NOx|Work loss days", US_national_yearly!$D:$AM, 30, FALSE) / VLOOKUP("buildings|NOx|Work loss days", US_national_yearly!$D:$AM, 10, FALSE), 1)</f>
        <v>0.10938892861340258</v>
      </c>
      <c r="W15" s="7">
        <f>$B15 * IFERROR(VLOOKUP("buildings|NOx|Work loss days", US_national_yearly!$D:$AM, 31, FALSE) / VLOOKUP("buildings|NOx|Work loss days", US_national_yearly!$D:$AM, 10, FALSE), 1)</f>
        <v>0.11014555492159711</v>
      </c>
      <c r="X15" s="7">
        <f>$B15 * IFERROR(VLOOKUP("buildings|NOx|Work loss days", US_national_yearly!$D:$AM, 32, FALSE) / VLOOKUP("buildings|NOx|Work loss days", US_national_yearly!$D:$AM, 10, FALSE), 1)</f>
        <v>0.11080246464451335</v>
      </c>
      <c r="Y15" s="7">
        <f>$B15 * IFERROR(VLOOKUP("buildings|NOx|Work loss days", US_national_yearly!$D:$AM, 33, FALSE) / VLOOKUP("buildings|NOx|Work loss days", US_national_yearly!$D:$AM, 10, FALSE), 1)</f>
        <v>0.11145937436742957</v>
      </c>
      <c r="Z15" s="7">
        <f>$B15 * IFERROR(VLOOKUP("buildings|NOx|Work loss days", US_national_yearly!$D:$AM, 34, FALSE) / VLOOKUP("buildings|NOx|Work loss days", US_national_yearly!$D:$AM, 10, FALSE), 1)</f>
        <v>0.1121162840903458</v>
      </c>
      <c r="AA15" s="7">
        <f>$B15 * IFERROR(VLOOKUP("buildings|NOx|Work loss days", US_national_yearly!$D:$AM, 35, FALSE) / VLOOKUP("buildings|NOx|Work loss days", US_national_yearly!$D:$AM, 10, FALSE), 1)</f>
        <v>0.11277319381326202</v>
      </c>
      <c r="AB15" s="7">
        <f>$B15 * IFERROR(VLOOKUP("buildings|NOx|Work loss days", US_national_yearly!$D:$AM, 36, FALSE) / VLOOKUP("buildings|NOx|Work loss days", US_national_yearly!$D:$AM, 10, FALSE), 1)</f>
        <v>0.11343010353617825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1.8401256552865936E-4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1.8942255130641243E-4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1.9483253708416553E-4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2.0024252286191861E-4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2.0565250863967166E-4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2.1079189673388243E-4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2.159312848280932E-4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2.2025557249666429E-4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2.2457986016523535E-4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2.2890414783380638E-4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2.3322843550237744E-4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2.3755272317094845E-4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2.4025771282206417E-4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2.429627024731798E-4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2.4566769212429552E-4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2.4837268177541115E-4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2.5107767142652684E-4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2.5231365816307395E-4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2.5354964489962106E-4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2.5478563163616822E-4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2.5602161837271528E-4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2.5725760510926244E-4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2.5794653163666395E-4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2.586354581640655E-4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2.5932438469146706E-4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2.6001331121886862E-4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2.6070223774627012E-4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6.1614024416049859E-3</v>
      </c>
      <c r="C2" s="7">
        <f>$B2 * IFERROR(VLOOKUP("buildings|SO2|Premature mortality", US_national_yearly!$D:$AM, 11, FALSE) / VLOOKUP("buildings|SO2|Premature mortality", US_national_yearly!$D:$AM, 10, FALSE), 1)</f>
        <v>6.2394576252137006E-3</v>
      </c>
      <c r="D2" s="7">
        <f>$B2 * IFERROR(VLOOKUP("buildings|SO2|Premature mortality", US_national_yearly!$D:$AM, 12, FALSE) / VLOOKUP("buildings|SO2|Premature mortality", US_national_yearly!$D:$AM, 10, FALSE), 1)</f>
        <v>6.3175128088224144E-3</v>
      </c>
      <c r="E2" s="7">
        <f>$B2 * IFERROR(VLOOKUP("buildings|SO2|Premature mortality", US_national_yearly!$D:$AM, 13, FALSE) / VLOOKUP("buildings|SO2|Premature mortality", US_national_yearly!$D:$AM, 10, FALSE), 1)</f>
        <v>6.395567992431129E-3</v>
      </c>
      <c r="F2" s="7">
        <f>$B2 * IFERROR(VLOOKUP("buildings|SO2|Premature mortality", US_national_yearly!$D:$AM, 14, FALSE) / VLOOKUP("buildings|SO2|Premature mortality", US_national_yearly!$D:$AM, 10, FALSE), 1)</f>
        <v>6.4736231760398446E-3</v>
      </c>
      <c r="G2" s="7">
        <f>$B2 * IFERROR(VLOOKUP("buildings|SO2|Premature mortality", US_national_yearly!$D:$AM, 15, FALSE) / VLOOKUP("buildings|SO2|Premature mortality", US_national_yearly!$D:$AM, 10, FALSE), 1)</f>
        <v>6.6240196768988608E-3</v>
      </c>
      <c r="H2" s="7">
        <f>$B2 * IFERROR(VLOOKUP("buildings|SO2|Premature mortality", US_national_yearly!$D:$AM, 16, FALSE) / VLOOKUP("buildings|SO2|Premature mortality", US_national_yearly!$D:$AM, 10, FALSE), 1)</f>
        <v>6.7744161777578788E-3</v>
      </c>
      <c r="I2" s="7">
        <f>$B2 * IFERROR(VLOOKUP("buildings|SO2|Premature mortality", US_national_yearly!$D:$AM, 17, FALSE) / VLOOKUP("buildings|SO2|Premature mortality", US_national_yearly!$D:$AM, 10, FALSE), 1)</f>
        <v>6.8738574802734813E-3</v>
      </c>
      <c r="J2" s="7">
        <f>$B2 * IFERROR(VLOOKUP("buildings|SO2|Premature mortality", US_national_yearly!$D:$AM, 18, FALSE) / VLOOKUP("buildings|SO2|Premature mortality", US_national_yearly!$D:$AM, 10, FALSE), 1)</f>
        <v>6.9732987827890829E-3</v>
      </c>
      <c r="K2" s="7">
        <f>$B2 * IFERROR(VLOOKUP("buildings|SO2|Premature mortality", US_national_yearly!$D:$AM, 19, FALSE) / VLOOKUP("buildings|SO2|Premature mortality", US_national_yearly!$D:$AM, 10, FALSE), 1)</f>
        <v>7.0727400853046853E-3</v>
      </c>
      <c r="L2" s="7">
        <f>$B2 * IFERROR(VLOOKUP("buildings|SO2|Premature mortality", US_national_yearly!$D:$AM, 20, FALSE) / VLOOKUP("buildings|SO2|Premature mortality", US_national_yearly!$D:$AM, 10, FALSE), 1)</f>
        <v>7.1721813878202869E-3</v>
      </c>
      <c r="M2" s="7">
        <f>$B2 * IFERROR(VLOOKUP("buildings|SO2|Premature mortality", US_national_yearly!$D:$AM, 21, FALSE) / VLOOKUP("buildings|SO2|Premature mortality", US_national_yearly!$D:$AM, 10, FALSE), 1)</f>
        <v>7.2716226903358893E-3</v>
      </c>
      <c r="N2" s="7">
        <f>$B2 * IFERROR(VLOOKUP("buildings|SO2|Premature mortality", US_national_yearly!$D:$AM, 22, FALSE) / VLOOKUP("buildings|SO2|Premature mortality", US_national_yearly!$D:$AM, 10, FALSE), 1)</f>
        <v>7.3493027429134142E-3</v>
      </c>
      <c r="O2" s="7">
        <f>$B2 * IFERROR(VLOOKUP("buildings|SO2|Premature mortality", US_national_yearly!$D:$AM, 23, FALSE) / VLOOKUP("buildings|SO2|Premature mortality", US_national_yearly!$D:$AM, 10, FALSE), 1)</f>
        <v>7.4269827954909348E-3</v>
      </c>
      <c r="P2" s="7">
        <f>$B2 * IFERROR(VLOOKUP("buildings|SO2|Premature mortality", US_national_yearly!$D:$AM, 24, FALSE) / VLOOKUP("buildings|SO2|Premature mortality", US_national_yearly!$D:$AM, 10, FALSE), 1)</f>
        <v>7.504662848068458E-3</v>
      </c>
      <c r="Q2" s="7">
        <f>$B2 * IFERROR(VLOOKUP("buildings|SO2|Premature mortality", US_national_yearly!$D:$AM, 25, FALSE) / VLOOKUP("buildings|SO2|Premature mortality", US_national_yearly!$D:$AM, 10, FALSE), 1)</f>
        <v>7.5823429006459794E-3</v>
      </c>
      <c r="R2" s="7">
        <f>$B2 * IFERROR(VLOOKUP("buildings|SO2|Premature mortality", US_national_yearly!$D:$AM, 26, FALSE) / VLOOKUP("buildings|SO2|Premature mortality", US_national_yearly!$D:$AM, 10, FALSE), 1)</f>
        <v>7.6600229532235026E-3</v>
      </c>
      <c r="S2" s="7">
        <f>$B2 * IFERROR(VLOOKUP("buildings|SO2|Premature mortality", US_national_yearly!$D:$AM, 27, FALSE) / VLOOKUP("buildings|SO2|Premature mortality", US_national_yearly!$D:$AM, 10, FALSE), 1)</f>
        <v>7.701598204060682E-3</v>
      </c>
      <c r="T2" s="7">
        <f>$B2 * IFERROR(VLOOKUP("buildings|SO2|Premature mortality", US_national_yearly!$D:$AM, 28, FALSE) / VLOOKUP("buildings|SO2|Premature mortality", US_national_yearly!$D:$AM, 10, FALSE), 1)</f>
        <v>7.7431734548978623E-3</v>
      </c>
      <c r="U2" s="7">
        <f>$B2 * IFERROR(VLOOKUP("buildings|SO2|Premature mortality", US_national_yearly!$D:$AM, 29, FALSE) / VLOOKUP("buildings|SO2|Premature mortality", US_national_yearly!$D:$AM, 10, FALSE), 1)</f>
        <v>7.7847487057350418E-3</v>
      </c>
      <c r="V2" s="7">
        <f>$B2 * IFERROR(VLOOKUP("buildings|SO2|Premature mortality", US_national_yearly!$D:$AM, 30, FALSE) / VLOOKUP("buildings|SO2|Premature mortality", US_national_yearly!$D:$AM, 10, FALSE), 1)</f>
        <v>7.8263239565722221E-3</v>
      </c>
      <c r="W2" s="7">
        <f>$B2 * IFERROR(VLOOKUP("buildings|SO2|Premature mortality", US_national_yearly!$D:$AM, 31, FALSE) / VLOOKUP("buildings|SO2|Premature mortality", US_national_yearly!$D:$AM, 10, FALSE), 1)</f>
        <v>7.8678992074094015E-3</v>
      </c>
      <c r="X2" s="7">
        <f>$B2 * IFERROR(VLOOKUP("buildings|SO2|Premature mortality", US_national_yearly!$D:$AM, 32, FALSE) / VLOOKUP("buildings|SO2|Premature mortality", US_national_yearly!$D:$AM, 10, FALSE), 1)</f>
        <v>7.8763001086430556E-3</v>
      </c>
      <c r="Y2" s="7">
        <f>$B2 * IFERROR(VLOOKUP("buildings|SO2|Premature mortality", US_national_yearly!$D:$AM, 33, FALSE) / VLOOKUP("buildings|SO2|Premature mortality", US_national_yearly!$D:$AM, 10, FALSE), 1)</f>
        <v>7.8847010098767115E-3</v>
      </c>
      <c r="Z2" s="7">
        <f>$B2 * IFERROR(VLOOKUP("buildings|SO2|Premature mortality", US_national_yearly!$D:$AM, 34, FALSE) / VLOOKUP("buildings|SO2|Premature mortality", US_national_yearly!$D:$AM, 10, FALSE), 1)</f>
        <v>7.8931019111103656E-3</v>
      </c>
      <c r="AA2" s="7">
        <f>$B2 * IFERROR(VLOOKUP("buildings|SO2|Premature mortality", US_national_yearly!$D:$AM, 35, FALSE) / VLOOKUP("buildings|SO2|Premature mortality", US_national_yearly!$D:$AM, 10, FALSE), 1)</f>
        <v>7.9015028123440197E-3</v>
      </c>
      <c r="AB2" s="7">
        <f>$B2 * IFERROR(VLOOKUP("buildings|SO2|Premature mortality", US_national_yearly!$D:$AM, 36, FALSE) / VLOOKUP("buildings|SO2|Premature mortality", US_national_yearly!$D:$AM, 10, FALSE), 1)</f>
        <v>7.9099037135776755E-3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1.4659779875518371E-5</v>
      </c>
      <c r="C3" s="7">
        <f>$B3 * IFERROR(VLOOKUP("buildings|SO2|Infant mortality", US_national_yearly!$D:$AM, 11, FALSE) / VLOOKUP("buildings|SO2|Infant mortality", US_national_yearly!$D:$AM, 10, FALSE), 1)</f>
        <v>1.4534124932689773E-5</v>
      </c>
      <c r="D3" s="7">
        <f>$B3 * IFERROR(VLOOKUP("buildings|SO2|Infant mortality", US_national_yearly!$D:$AM, 12, FALSE) / VLOOKUP("buildings|SO2|Infant mortality", US_national_yearly!$D:$AM, 10, FALSE), 1)</f>
        <v>1.4408469989861174E-5</v>
      </c>
      <c r="E3" s="7">
        <f>$B3 * IFERROR(VLOOKUP("buildings|SO2|Infant mortality", US_national_yearly!$D:$AM, 13, FALSE) / VLOOKUP("buildings|SO2|Infant mortality", US_national_yearly!$D:$AM, 10, FALSE), 1)</f>
        <v>1.4282815047032578E-5</v>
      </c>
      <c r="F3" s="7">
        <f>$B3 * IFERROR(VLOOKUP("buildings|SO2|Infant mortality", US_national_yearly!$D:$AM, 14, FALSE) / VLOOKUP("buildings|SO2|Infant mortality", US_national_yearly!$D:$AM, 10, FALSE), 1)</f>
        <v>1.4157160104203981E-5</v>
      </c>
      <c r="G3" s="7">
        <f>$B3 * IFERROR(VLOOKUP("buildings|SO2|Infant mortality", US_national_yearly!$D:$AM, 15, FALSE) / VLOOKUP("buildings|SO2|Infant mortality", US_national_yearly!$D:$AM, 10, FALSE), 1)</f>
        <v>9.4281077688209263E-6</v>
      </c>
      <c r="H3" s="7">
        <f>$B3 * IFERROR(VLOOKUP("buildings|SO2|Infant mortality", US_national_yearly!$D:$AM, 16, FALSE) / VLOOKUP("buildings|SO2|Infant mortality", US_national_yearly!$D:$AM, 10, FALSE), 1)</f>
        <v>4.6990554334378729E-6</v>
      </c>
      <c r="I3" s="7">
        <f>$B3 * IFERROR(VLOOKUP("buildings|SO2|Infant mortality", US_national_yearly!$D:$AM, 17, FALSE) / VLOOKUP("buildings|SO2|Infant mortality", US_national_yearly!$D:$AM, 10, FALSE), 1)</f>
        <v>4.6695730407319582E-6</v>
      </c>
      <c r="J3" s="7">
        <f>$B3 * IFERROR(VLOOKUP("buildings|SO2|Infant mortality", US_national_yearly!$D:$AM, 18, FALSE) / VLOOKUP("buildings|SO2|Infant mortality", US_national_yearly!$D:$AM, 10, FALSE), 1)</f>
        <v>4.6400906480260427E-6</v>
      </c>
      <c r="K3" s="7">
        <f>$B3 * IFERROR(VLOOKUP("buildings|SO2|Infant mortality", US_national_yearly!$D:$AM, 19, FALSE) / VLOOKUP("buildings|SO2|Infant mortality", US_national_yearly!$D:$AM, 10, FALSE), 1)</f>
        <v>4.610608255320128E-6</v>
      </c>
      <c r="L3" s="7">
        <f>$B3 * IFERROR(VLOOKUP("buildings|SO2|Infant mortality", US_national_yearly!$D:$AM, 20, FALSE) / VLOOKUP("buildings|SO2|Infant mortality", US_national_yearly!$D:$AM, 10, FALSE), 1)</f>
        <v>4.5811258626142125E-6</v>
      </c>
      <c r="M3" s="7">
        <f>$B3 * IFERROR(VLOOKUP("buildings|SO2|Infant mortality", US_national_yearly!$D:$AM, 21, FALSE) / VLOOKUP("buildings|SO2|Infant mortality", US_national_yearly!$D:$AM, 10, FALSE), 1)</f>
        <v>4.5516434699082978E-6</v>
      </c>
      <c r="N3" s="7">
        <f>$B3 * IFERROR(VLOOKUP("buildings|SO2|Infant mortality", US_national_yearly!$D:$AM, 22, FALSE) / VLOOKUP("buildings|SO2|Infant mortality", US_national_yearly!$D:$AM, 10, FALSE), 1)</f>
        <v>4.5331611416559326E-6</v>
      </c>
      <c r="O3" s="7">
        <f>$B3 * IFERROR(VLOOKUP("buildings|SO2|Infant mortality", US_national_yearly!$D:$AM, 23, FALSE) / VLOOKUP("buildings|SO2|Infant mortality", US_national_yearly!$D:$AM, 10, FALSE), 1)</f>
        <v>4.5146788134035666E-6</v>
      </c>
      <c r="P3" s="7">
        <f>$B3 * IFERROR(VLOOKUP("buildings|SO2|Infant mortality", US_national_yearly!$D:$AM, 24, FALSE) / VLOOKUP("buildings|SO2|Infant mortality", US_national_yearly!$D:$AM, 10, FALSE), 1)</f>
        <v>4.4961964851512014E-6</v>
      </c>
      <c r="Q3" s="7">
        <f>$B3 * IFERROR(VLOOKUP("buildings|SO2|Infant mortality", US_national_yearly!$D:$AM, 25, FALSE) / VLOOKUP("buildings|SO2|Infant mortality", US_national_yearly!$D:$AM, 10, FALSE), 1)</f>
        <v>4.4777141568988362E-6</v>
      </c>
      <c r="R3" s="7">
        <f>$B3 * IFERROR(VLOOKUP("buildings|SO2|Infant mortality", US_national_yearly!$D:$AM, 26, FALSE) / VLOOKUP("buildings|SO2|Infant mortality", US_national_yearly!$D:$AM, 10, FALSE), 1)</f>
        <v>4.4592318286464711E-6</v>
      </c>
      <c r="S3" s="7">
        <f>$B3 * IFERROR(VLOOKUP("buildings|SO2|Infant mortality", US_national_yearly!$D:$AM, 27, FALSE) / VLOOKUP("buildings|SO2|Infant mortality", US_national_yearly!$D:$AM, 10, FALSE), 1)</f>
        <v>4.4360238838324673E-6</v>
      </c>
      <c r="T3" s="7">
        <f>$B3 * IFERROR(VLOOKUP("buildings|SO2|Infant mortality", US_national_yearly!$D:$AM, 28, FALSE) / VLOOKUP("buildings|SO2|Infant mortality", US_national_yearly!$D:$AM, 10, FALSE), 1)</f>
        <v>4.4128159390184634E-6</v>
      </c>
      <c r="U3" s="7">
        <f>$B3 * IFERROR(VLOOKUP("buildings|SO2|Infant mortality", US_national_yearly!$D:$AM, 29, FALSE) / VLOOKUP("buildings|SO2|Infant mortality", US_national_yearly!$D:$AM, 10, FALSE), 1)</f>
        <v>4.3896079942044605E-6</v>
      </c>
      <c r="V3" s="7">
        <f>$B3 * IFERROR(VLOOKUP("buildings|SO2|Infant mortality", US_national_yearly!$D:$AM, 30, FALSE) / VLOOKUP("buildings|SO2|Infant mortality", US_national_yearly!$D:$AM, 10, FALSE), 1)</f>
        <v>4.3664000493904567E-6</v>
      </c>
      <c r="W3" s="7">
        <f>$B3 * IFERROR(VLOOKUP("buildings|SO2|Infant mortality", US_national_yearly!$D:$AM, 31, FALSE) / VLOOKUP("buildings|SO2|Infant mortality", US_national_yearly!$D:$AM, 10, FALSE), 1)</f>
        <v>4.3431921045764529E-6</v>
      </c>
      <c r="X3" s="7">
        <f>$B3 * IFERROR(VLOOKUP("buildings|SO2|Infant mortality", US_national_yearly!$D:$AM, 32, FALSE) / VLOOKUP("buildings|SO2|Infant mortality", US_national_yearly!$D:$AM, 10, FALSE), 1)</f>
        <v>4.3178453515040713E-6</v>
      </c>
      <c r="Y3" s="7">
        <f>$B3 * IFERROR(VLOOKUP("buildings|SO2|Infant mortality", US_national_yearly!$D:$AM, 33, FALSE) / VLOOKUP("buildings|SO2|Infant mortality", US_national_yearly!$D:$AM, 10, FALSE), 1)</f>
        <v>4.2924985984316897E-6</v>
      </c>
      <c r="Z3" s="7">
        <f>$B3 * IFERROR(VLOOKUP("buildings|SO2|Infant mortality", US_national_yearly!$D:$AM, 34, FALSE) / VLOOKUP("buildings|SO2|Infant mortality", US_national_yearly!$D:$AM, 10, FALSE), 1)</f>
        <v>4.2671518453593089E-6</v>
      </c>
      <c r="AA3" s="7">
        <f>$B3 * IFERROR(VLOOKUP("buildings|SO2|Infant mortality", US_national_yearly!$D:$AM, 35, FALSE) / VLOOKUP("buildings|SO2|Infant mortality", US_national_yearly!$D:$AM, 10, FALSE), 1)</f>
        <v>4.2418050922869265E-6</v>
      </c>
      <c r="AB3" s="7">
        <f>$B3 * IFERROR(VLOOKUP("buildings|SO2|Infant mortality", US_national_yearly!$D:$AM, 36, FALSE) / VLOOKUP("buildings|SO2|Infant mortality", US_national_yearly!$D:$AM, 10, FALSE), 1)</f>
        <v>4.2164583392145449E-6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1.3451743139137416E-2</v>
      </c>
      <c r="C6" s="7">
        <f>$B6 * IFERROR(VLOOKUP("buildings|SO2|Asthma symptoms cough", US_national_yearly!$D:$AM, 11, FALSE) / VLOOKUP("buildings|SO2|Asthma symptoms cough", US_national_yearly!$D:$AM, 10, FALSE), 1)</f>
        <v>1.3451743139137416E-2</v>
      </c>
      <c r="D6" s="7">
        <f>$B6 * IFERROR(VLOOKUP("buildings|SO2|Asthma symptoms cough", US_national_yearly!$D:$AM, 12, FALSE) / VLOOKUP("buildings|SO2|Asthma symptoms cough", US_national_yearly!$D:$AM, 10, FALSE), 1)</f>
        <v>1.3451743139137416E-2</v>
      </c>
      <c r="E6" s="7">
        <f>$B6 * IFERROR(VLOOKUP("buildings|SO2|Asthma symptoms cough", US_national_yearly!$D:$AM, 13, FALSE) / VLOOKUP("buildings|SO2|Asthma symptoms cough", US_national_yearly!$D:$AM, 10, FALSE), 1)</f>
        <v>1.3451743139137416E-2</v>
      </c>
      <c r="F6" s="7">
        <f>$B6 * IFERROR(VLOOKUP("buildings|SO2|Asthma symptoms cough", US_national_yearly!$D:$AM, 14, FALSE) / VLOOKUP("buildings|SO2|Asthma symptoms cough", US_national_yearly!$D:$AM, 10, FALSE), 1)</f>
        <v>1.3451743139137416E-2</v>
      </c>
      <c r="G6" s="7">
        <f>$B6 * IFERROR(VLOOKUP("buildings|SO2|Asthma symptoms cough", US_national_yearly!$D:$AM, 15, FALSE) / VLOOKUP("buildings|SO2|Asthma symptoms cough", US_national_yearly!$D:$AM, 10, FALSE), 1)</f>
        <v>1.3451743139137416E-2</v>
      </c>
      <c r="H6" s="7">
        <f>$B6 * IFERROR(VLOOKUP("buildings|SO2|Asthma symptoms cough", US_national_yearly!$D:$AM, 16, FALSE) / VLOOKUP("buildings|SO2|Asthma symptoms cough", US_national_yearly!$D:$AM, 10, FALSE), 1)</f>
        <v>1.3451743139137416E-2</v>
      </c>
      <c r="I6" s="7">
        <f>$B6 * IFERROR(VLOOKUP("buildings|SO2|Asthma symptoms cough", US_national_yearly!$D:$AM, 17, FALSE) / VLOOKUP("buildings|SO2|Asthma symptoms cough", US_national_yearly!$D:$AM, 10, FALSE), 1)</f>
        <v>1.3451743139137416E-2</v>
      </c>
      <c r="J6" s="7">
        <f>$B6 * IFERROR(VLOOKUP("buildings|SO2|Asthma symptoms cough", US_national_yearly!$D:$AM, 18, FALSE) / VLOOKUP("buildings|SO2|Asthma symptoms cough", US_national_yearly!$D:$AM, 10, FALSE), 1)</f>
        <v>1.3451743139137416E-2</v>
      </c>
      <c r="K6" s="7">
        <f>$B6 * IFERROR(VLOOKUP("buildings|SO2|Asthma symptoms cough", US_national_yearly!$D:$AM, 19, FALSE) / VLOOKUP("buildings|SO2|Asthma symptoms cough", US_national_yearly!$D:$AM, 10, FALSE), 1)</f>
        <v>1.3451743139137416E-2</v>
      </c>
      <c r="L6" s="7">
        <f>$B6 * IFERROR(VLOOKUP("buildings|SO2|Asthma symptoms cough", US_national_yearly!$D:$AM, 20, FALSE) / VLOOKUP("buildings|SO2|Asthma symptoms cough", US_national_yearly!$D:$AM, 10, FALSE), 1)</f>
        <v>1.3451743139137416E-2</v>
      </c>
      <c r="M6" s="7">
        <f>$B6 * IFERROR(VLOOKUP("buildings|SO2|Asthma symptoms cough", US_national_yearly!$D:$AM, 21, FALSE) / VLOOKUP("buildings|SO2|Asthma symptoms cough", US_national_yearly!$D:$AM, 10, FALSE), 1)</f>
        <v>1.3451743139137416E-2</v>
      </c>
      <c r="N6" s="7">
        <f>$B6 * IFERROR(VLOOKUP("buildings|SO2|Asthma symptoms cough", US_national_yearly!$D:$AM, 22, FALSE) / VLOOKUP("buildings|SO2|Asthma symptoms cough", US_national_yearly!$D:$AM, 10, FALSE), 1)</f>
        <v>1.3451743139137416E-2</v>
      </c>
      <c r="O6" s="7">
        <f>$B6 * IFERROR(VLOOKUP("buildings|SO2|Asthma symptoms cough", US_national_yearly!$D:$AM, 23, FALSE) / VLOOKUP("buildings|SO2|Asthma symptoms cough", US_national_yearly!$D:$AM, 10, FALSE), 1)</f>
        <v>1.3451743139137416E-2</v>
      </c>
      <c r="P6" s="7">
        <f>$B6 * IFERROR(VLOOKUP("buildings|SO2|Asthma symptoms cough", US_national_yearly!$D:$AM, 24, FALSE) / VLOOKUP("buildings|SO2|Asthma symptoms cough", US_national_yearly!$D:$AM, 10, FALSE), 1)</f>
        <v>1.3451743139137416E-2</v>
      </c>
      <c r="Q6" s="7">
        <f>$B6 * IFERROR(VLOOKUP("buildings|SO2|Asthma symptoms cough", US_national_yearly!$D:$AM, 25, FALSE) / VLOOKUP("buildings|SO2|Asthma symptoms cough", US_national_yearly!$D:$AM, 10, FALSE), 1)</f>
        <v>1.3451743139137416E-2</v>
      </c>
      <c r="R6" s="7">
        <f>$B6 * IFERROR(VLOOKUP("buildings|SO2|Asthma symptoms cough", US_national_yearly!$D:$AM, 26, FALSE) / VLOOKUP("buildings|SO2|Asthma symptoms cough", US_national_yearly!$D:$AM, 10, FALSE), 1)</f>
        <v>1.3451743139137416E-2</v>
      </c>
      <c r="S6" s="7">
        <f>$B6 * IFERROR(VLOOKUP("buildings|SO2|Asthma symptoms cough", US_national_yearly!$D:$AM, 27, FALSE) / VLOOKUP("buildings|SO2|Asthma symptoms cough", US_national_yearly!$D:$AM, 10, FALSE), 1)</f>
        <v>1.3451743139137416E-2</v>
      </c>
      <c r="T6" s="7">
        <f>$B6 * IFERROR(VLOOKUP("buildings|SO2|Asthma symptoms cough", US_national_yearly!$D:$AM, 28, FALSE) / VLOOKUP("buildings|SO2|Asthma symptoms cough", US_national_yearly!$D:$AM, 10, FALSE), 1)</f>
        <v>1.3451743139137416E-2</v>
      </c>
      <c r="U6" s="7">
        <f>$B6 * IFERROR(VLOOKUP("buildings|SO2|Asthma symptoms cough", US_national_yearly!$D:$AM, 29, FALSE) / VLOOKUP("buildings|SO2|Asthma symptoms cough", US_national_yearly!$D:$AM, 10, FALSE), 1)</f>
        <v>1.3451743139137416E-2</v>
      </c>
      <c r="V6" s="7">
        <f>$B6 * IFERROR(VLOOKUP("buildings|SO2|Asthma symptoms cough", US_national_yearly!$D:$AM, 30, FALSE) / VLOOKUP("buildings|SO2|Asthma symptoms cough", US_national_yearly!$D:$AM, 10, FALSE), 1)</f>
        <v>1.3451743139137416E-2</v>
      </c>
      <c r="W6" s="7">
        <f>$B6 * IFERROR(VLOOKUP("buildings|SO2|Asthma symptoms cough", US_national_yearly!$D:$AM, 31, FALSE) / VLOOKUP("buildings|SO2|Asthma symptoms cough", US_national_yearly!$D:$AM, 10, FALSE), 1)</f>
        <v>1.3451743139137416E-2</v>
      </c>
      <c r="X6" s="7">
        <f>$B6 * IFERROR(VLOOKUP("buildings|SO2|Asthma symptoms cough", US_national_yearly!$D:$AM, 32, FALSE) / VLOOKUP("buildings|SO2|Asthma symptoms cough", US_national_yearly!$D:$AM, 10, FALSE), 1)</f>
        <v>1.3451743139137416E-2</v>
      </c>
      <c r="Y6" s="7">
        <f>$B6 * IFERROR(VLOOKUP("buildings|SO2|Asthma symptoms cough", US_national_yearly!$D:$AM, 33, FALSE) / VLOOKUP("buildings|SO2|Asthma symptoms cough", US_national_yearly!$D:$AM, 10, FALSE), 1)</f>
        <v>1.3451743139137416E-2</v>
      </c>
      <c r="Z6" s="7">
        <f>$B6 * IFERROR(VLOOKUP("buildings|SO2|Asthma symptoms cough", US_national_yearly!$D:$AM, 34, FALSE) / VLOOKUP("buildings|SO2|Asthma symptoms cough", US_national_yearly!$D:$AM, 10, FALSE), 1)</f>
        <v>1.3451743139137416E-2</v>
      </c>
      <c r="AA6" s="7">
        <f>$B6 * IFERROR(VLOOKUP("buildings|SO2|Asthma symptoms cough", US_national_yearly!$D:$AM, 35, FALSE) / VLOOKUP("buildings|SO2|Asthma symptoms cough", US_national_yearly!$D:$AM, 10, FALSE), 1)</f>
        <v>1.3451743139137416E-2</v>
      </c>
      <c r="AB6" s="7">
        <f>$B6 * IFERROR(VLOOKUP("buildings|SO2|Asthma symptoms cough", US_national_yearly!$D:$AM, 36, FALSE) / VLOOKUP("buildings|SO2|Asthma symptoms cough", US_national_yearly!$D:$AM, 10, FALSE), 1)</f>
        <v>1.3451743139137416E-2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1.8114739048767595E-2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1.8114739048767595E-2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1.8114739048767595E-2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1.8114739048767595E-2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1.8114739048767595E-2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1.8114739048767595E-2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1.8114739048767595E-2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1.8114739048767595E-2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1.8114739048767595E-2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1.8114739048767595E-2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1.8114739048767595E-2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1.8114739048767595E-2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1.8114739048767595E-2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1.8114739048767595E-2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1.8114739048767595E-2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1.8114739048767595E-2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1.8114739048767595E-2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1.8114739048767595E-2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1.8114739048767595E-2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1.8114739048767595E-2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1.8114739048767595E-2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1.8114739048767595E-2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1.8114739048767595E-2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1.8114739048767595E-2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1.8114739048767595E-2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1.8114739048767595E-2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1.8114739048767595E-2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2.7676197753659138E-2</v>
      </c>
      <c r="C8" s="7">
        <f>$B8 * IFERROR(VLOOKUP("buildings|SO2|Asthma symptoms wheeze", US_national_yearly!$D:$AM, 11, FALSE) / VLOOKUP("buildings|SO2|Asthma symptoms wheeze", US_national_yearly!$D:$AM, 10, FALSE), 1)</f>
        <v>2.7676197753659138E-2</v>
      </c>
      <c r="D8" s="7">
        <f>$B8 * IFERROR(VLOOKUP("buildings|SO2|Asthma symptoms wheeze", US_national_yearly!$D:$AM, 12, FALSE) / VLOOKUP("buildings|SO2|Asthma symptoms wheeze", US_national_yearly!$D:$AM, 10, FALSE), 1)</f>
        <v>2.7676197753659138E-2</v>
      </c>
      <c r="E8" s="7">
        <f>$B8 * IFERROR(VLOOKUP("buildings|SO2|Asthma symptoms wheeze", US_national_yearly!$D:$AM, 13, FALSE) / VLOOKUP("buildings|SO2|Asthma symptoms wheeze", US_national_yearly!$D:$AM, 10, FALSE), 1)</f>
        <v>2.7676197753659138E-2</v>
      </c>
      <c r="F8" s="7">
        <f>$B8 * IFERROR(VLOOKUP("buildings|SO2|Asthma symptoms wheeze", US_national_yearly!$D:$AM, 14, FALSE) / VLOOKUP("buildings|SO2|Asthma symptoms wheeze", US_national_yearly!$D:$AM, 10, FALSE), 1)</f>
        <v>2.7676197753659138E-2</v>
      </c>
      <c r="G8" s="7">
        <f>$B8 * IFERROR(VLOOKUP("buildings|SO2|Asthma symptoms wheeze", US_national_yearly!$D:$AM, 15, FALSE) / VLOOKUP("buildings|SO2|Asthma symptoms wheeze", US_national_yearly!$D:$AM, 10, FALSE), 1)</f>
        <v>2.7676197753659138E-2</v>
      </c>
      <c r="H8" s="7">
        <f>$B8 * IFERROR(VLOOKUP("buildings|SO2|Asthma symptoms wheeze", US_national_yearly!$D:$AM, 16, FALSE) / VLOOKUP("buildings|SO2|Asthma symptoms wheeze", US_national_yearly!$D:$AM, 10, FALSE), 1)</f>
        <v>2.7676197753659138E-2</v>
      </c>
      <c r="I8" s="7">
        <f>$B8 * IFERROR(VLOOKUP("buildings|SO2|Asthma symptoms wheeze", US_national_yearly!$D:$AM, 17, FALSE) / VLOOKUP("buildings|SO2|Asthma symptoms wheeze", US_national_yearly!$D:$AM, 10, FALSE), 1)</f>
        <v>2.7676197753659138E-2</v>
      </c>
      <c r="J8" s="7">
        <f>$B8 * IFERROR(VLOOKUP("buildings|SO2|Asthma symptoms wheeze", US_national_yearly!$D:$AM, 18, FALSE) / VLOOKUP("buildings|SO2|Asthma symptoms wheeze", US_national_yearly!$D:$AM, 10, FALSE), 1)</f>
        <v>2.7676197753659138E-2</v>
      </c>
      <c r="K8" s="7">
        <f>$B8 * IFERROR(VLOOKUP("buildings|SO2|Asthma symptoms wheeze", US_national_yearly!$D:$AM, 19, FALSE) / VLOOKUP("buildings|SO2|Asthma symptoms wheeze", US_national_yearly!$D:$AM, 10, FALSE), 1)</f>
        <v>2.7676197753659138E-2</v>
      </c>
      <c r="L8" s="7">
        <f>$B8 * IFERROR(VLOOKUP("buildings|SO2|Asthma symptoms wheeze", US_national_yearly!$D:$AM, 20, FALSE) / VLOOKUP("buildings|SO2|Asthma symptoms wheeze", US_national_yearly!$D:$AM, 10, FALSE), 1)</f>
        <v>2.7676197753659138E-2</v>
      </c>
      <c r="M8" s="7">
        <f>$B8 * IFERROR(VLOOKUP("buildings|SO2|Asthma symptoms wheeze", US_national_yearly!$D:$AM, 21, FALSE) / VLOOKUP("buildings|SO2|Asthma symptoms wheeze", US_national_yearly!$D:$AM, 10, FALSE), 1)</f>
        <v>2.7676197753659138E-2</v>
      </c>
      <c r="N8" s="7">
        <f>$B8 * IFERROR(VLOOKUP("buildings|SO2|Asthma symptoms wheeze", US_national_yearly!$D:$AM, 22, FALSE) / VLOOKUP("buildings|SO2|Asthma symptoms wheeze", US_national_yearly!$D:$AM, 10, FALSE), 1)</f>
        <v>2.7676197753659138E-2</v>
      </c>
      <c r="O8" s="7">
        <f>$B8 * IFERROR(VLOOKUP("buildings|SO2|Asthma symptoms wheeze", US_national_yearly!$D:$AM, 23, FALSE) / VLOOKUP("buildings|SO2|Asthma symptoms wheeze", US_national_yearly!$D:$AM, 10, FALSE), 1)</f>
        <v>2.7676197753659138E-2</v>
      </c>
      <c r="P8" s="7">
        <f>$B8 * IFERROR(VLOOKUP("buildings|SO2|Asthma symptoms wheeze", US_national_yearly!$D:$AM, 24, FALSE) / VLOOKUP("buildings|SO2|Asthma symptoms wheeze", US_national_yearly!$D:$AM, 10, FALSE), 1)</f>
        <v>2.7676197753659138E-2</v>
      </c>
      <c r="Q8" s="7">
        <f>$B8 * IFERROR(VLOOKUP("buildings|SO2|Asthma symptoms wheeze", US_national_yearly!$D:$AM, 25, FALSE) / VLOOKUP("buildings|SO2|Asthma symptoms wheeze", US_national_yearly!$D:$AM, 10, FALSE), 1)</f>
        <v>2.7676197753659138E-2</v>
      </c>
      <c r="R8" s="7">
        <f>$B8 * IFERROR(VLOOKUP("buildings|SO2|Asthma symptoms wheeze", US_national_yearly!$D:$AM, 26, FALSE) / VLOOKUP("buildings|SO2|Asthma symptoms wheeze", US_national_yearly!$D:$AM, 10, FALSE), 1)</f>
        <v>2.7676197753659138E-2</v>
      </c>
      <c r="S8" s="7">
        <f>$B8 * IFERROR(VLOOKUP("buildings|SO2|Asthma symptoms wheeze", US_national_yearly!$D:$AM, 27, FALSE) / VLOOKUP("buildings|SO2|Asthma symptoms wheeze", US_national_yearly!$D:$AM, 10, FALSE), 1)</f>
        <v>2.7676197753659138E-2</v>
      </c>
      <c r="T8" s="7">
        <f>$B8 * IFERROR(VLOOKUP("buildings|SO2|Asthma symptoms wheeze", US_national_yearly!$D:$AM, 28, FALSE) / VLOOKUP("buildings|SO2|Asthma symptoms wheeze", US_national_yearly!$D:$AM, 10, FALSE), 1)</f>
        <v>2.7676197753659138E-2</v>
      </c>
      <c r="U8" s="7">
        <f>$B8 * IFERROR(VLOOKUP("buildings|SO2|Asthma symptoms wheeze", US_national_yearly!$D:$AM, 29, FALSE) / VLOOKUP("buildings|SO2|Asthma symptoms wheeze", US_national_yearly!$D:$AM, 10, FALSE), 1)</f>
        <v>2.7676197753659138E-2</v>
      </c>
      <c r="V8" s="7">
        <f>$B8 * IFERROR(VLOOKUP("buildings|SO2|Asthma symptoms wheeze", US_national_yearly!$D:$AM, 30, FALSE) / VLOOKUP("buildings|SO2|Asthma symptoms wheeze", US_national_yearly!$D:$AM, 10, FALSE), 1)</f>
        <v>2.7676197753659138E-2</v>
      </c>
      <c r="W8" s="7">
        <f>$B8 * IFERROR(VLOOKUP("buildings|SO2|Asthma symptoms wheeze", US_national_yearly!$D:$AM, 31, FALSE) / VLOOKUP("buildings|SO2|Asthma symptoms wheeze", US_national_yearly!$D:$AM, 10, FALSE), 1)</f>
        <v>2.7676197753659138E-2</v>
      </c>
      <c r="X8" s="7">
        <f>$B8 * IFERROR(VLOOKUP("buildings|SO2|Asthma symptoms wheeze", US_national_yearly!$D:$AM, 32, FALSE) / VLOOKUP("buildings|SO2|Asthma symptoms wheeze", US_national_yearly!$D:$AM, 10, FALSE), 1)</f>
        <v>2.7676197753659138E-2</v>
      </c>
      <c r="Y8" s="7">
        <f>$B8 * IFERROR(VLOOKUP("buildings|SO2|Asthma symptoms wheeze", US_national_yearly!$D:$AM, 33, FALSE) / VLOOKUP("buildings|SO2|Asthma symptoms wheeze", US_national_yearly!$D:$AM, 10, FALSE), 1)</f>
        <v>2.7676197753659138E-2</v>
      </c>
      <c r="Z8" s="7">
        <f>$B8 * IFERROR(VLOOKUP("buildings|SO2|Asthma symptoms wheeze", US_national_yearly!$D:$AM, 34, FALSE) / VLOOKUP("buildings|SO2|Asthma symptoms wheeze", US_national_yearly!$D:$AM, 10, FALSE), 1)</f>
        <v>2.7676197753659138E-2</v>
      </c>
      <c r="AA8" s="7">
        <f>$B8 * IFERROR(VLOOKUP("buildings|SO2|Asthma symptoms wheeze", US_national_yearly!$D:$AM, 35, FALSE) / VLOOKUP("buildings|SO2|Asthma symptoms wheeze", US_national_yearly!$D:$AM, 10, FALSE), 1)</f>
        <v>2.7676197753659138E-2</v>
      </c>
      <c r="AB8" s="7">
        <f>$B8 * IFERROR(VLOOKUP("buildings|SO2|Asthma symptoms wheeze", US_national_yearly!$D:$AM, 36, FALSE) / VLOOKUP("buildings|SO2|Asthma symptoms wheeze", US_national_yearly!$D:$AM, 10, FALSE), 1)</f>
        <v>2.7676197753659138E-2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3.8015180140933767E-4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3.8239712355432181E-4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3.84642445699306E-4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3.8688776784429014E-4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3.8913308998927423E-4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3.9158020824815173E-4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3.9402732650702918E-4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3.9643556084035809E-4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3.9884379517368706E-4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4.0125202950701592E-4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4.0366026384034483E-4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4.060684981736738E-4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4.0782690789792255E-4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4.0958531762217126E-4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4.1134372734642001E-4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4.1310213707066877E-4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4.1486054679491753E-4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4.1653721110770665E-4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4.1821387542049593E-4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4.1989053973328505E-4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4.2156720404607422E-4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4.2324386835886345E-4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4.2483713692077247E-4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4.264304054826815E-4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4.2802367404459052E-4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4.2961694260649949E-4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4.3121021116840856E-4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2.4148480414698595E-3</v>
      </c>
      <c r="C13" s="7">
        <f>$B13 * IFERROR(VLOOKUP("buildings|SO2|Non-fatal heart attacks", US_national_yearly!$D:$AM, 11, FALSE) / VLOOKUP("buildings|SO2|Non-fatal heart attacks", US_national_yearly!$D:$AM, 10, FALSE), 1)</f>
        <v>2.4857621283917854E-3</v>
      </c>
      <c r="D13" s="7">
        <f>$B13 * IFERROR(VLOOKUP("buildings|SO2|Non-fatal heart attacks", US_national_yearly!$D:$AM, 12, FALSE) / VLOOKUP("buildings|SO2|Non-fatal heart attacks", US_national_yearly!$D:$AM, 10, FALSE), 1)</f>
        <v>2.5566762153137108E-3</v>
      </c>
      <c r="E13" s="7">
        <f>$B13 * IFERROR(VLOOKUP("buildings|SO2|Non-fatal heart attacks", US_national_yearly!$D:$AM, 13, FALSE) / VLOOKUP("buildings|SO2|Non-fatal heart attacks", US_national_yearly!$D:$AM, 10, FALSE), 1)</f>
        <v>2.6275903022356367E-3</v>
      </c>
      <c r="F13" s="7">
        <f>$B13 * IFERROR(VLOOKUP("buildings|SO2|Non-fatal heart attacks", US_national_yearly!$D:$AM, 14, FALSE) / VLOOKUP("buildings|SO2|Non-fatal heart attacks", US_national_yearly!$D:$AM, 10, FALSE), 1)</f>
        <v>2.6985043891575625E-3</v>
      </c>
      <c r="G13" s="7">
        <f>$B13 * IFERROR(VLOOKUP("buildings|SO2|Non-fatal heart attacks", US_national_yearly!$D:$AM, 15, FALSE) / VLOOKUP("buildings|SO2|Non-fatal heart attacks", US_national_yearly!$D:$AM, 10, FALSE), 1)</f>
        <v>2.7653878101695927E-3</v>
      </c>
      <c r="H13" s="7">
        <f>$B13 * IFERROR(VLOOKUP("buildings|SO2|Non-fatal heart attacks", US_national_yearly!$D:$AM, 16, FALSE) / VLOOKUP("buildings|SO2|Non-fatal heart attacks", US_national_yearly!$D:$AM, 10, FALSE), 1)</f>
        <v>2.8322712311816237E-3</v>
      </c>
      <c r="I13" s="7">
        <f>$B13 * IFERROR(VLOOKUP("buildings|SO2|Non-fatal heart attacks", US_national_yearly!$D:$AM, 17, FALSE) / VLOOKUP("buildings|SO2|Non-fatal heart attacks", US_national_yearly!$D:$AM, 10, FALSE), 1)</f>
        <v>2.8861079518110364E-3</v>
      </c>
      <c r="J13" s="7">
        <f>$B13 * IFERROR(VLOOKUP("buildings|SO2|Non-fatal heart attacks", US_national_yearly!$D:$AM, 18, FALSE) / VLOOKUP("buildings|SO2|Non-fatal heart attacks", US_national_yearly!$D:$AM, 10, FALSE), 1)</f>
        <v>2.93994467244045E-3</v>
      </c>
      <c r="K13" s="7">
        <f>$B13 * IFERROR(VLOOKUP("buildings|SO2|Non-fatal heart attacks", US_national_yearly!$D:$AM, 19, FALSE) / VLOOKUP("buildings|SO2|Non-fatal heart attacks", US_national_yearly!$D:$AM, 10, FALSE), 1)</f>
        <v>2.9937813930698636E-3</v>
      </c>
      <c r="L13" s="7">
        <f>$B13 * IFERROR(VLOOKUP("buildings|SO2|Non-fatal heart attacks", US_national_yearly!$D:$AM, 20, FALSE) / VLOOKUP("buildings|SO2|Non-fatal heart attacks", US_national_yearly!$D:$AM, 10, FALSE), 1)</f>
        <v>3.0476181136992776E-3</v>
      </c>
      <c r="M13" s="7">
        <f>$B13 * IFERROR(VLOOKUP("buildings|SO2|Non-fatal heart attacks", US_national_yearly!$D:$AM, 21, FALSE) / VLOOKUP("buildings|SO2|Non-fatal heart attacks", US_national_yearly!$D:$AM, 10, FALSE), 1)</f>
        <v>3.1014548343286908E-3</v>
      </c>
      <c r="N13" s="7">
        <f>$B13 * IFERROR(VLOOKUP("buildings|SO2|Non-fatal heart attacks", US_national_yearly!$D:$AM, 22, FALSE) / VLOOKUP("buildings|SO2|Non-fatal heart attacks", US_national_yearly!$D:$AM, 10, FALSE), 1)</f>
        <v>3.136397368662132E-3</v>
      </c>
      <c r="O13" s="7">
        <f>$B13 * IFERROR(VLOOKUP("buildings|SO2|Non-fatal heart attacks", US_national_yearly!$D:$AM, 23, FALSE) / VLOOKUP("buildings|SO2|Non-fatal heart attacks", US_national_yearly!$D:$AM, 10, FALSE), 1)</f>
        <v>3.1713399029955742E-3</v>
      </c>
      <c r="P13" s="7">
        <f>$B13 * IFERROR(VLOOKUP("buildings|SO2|Non-fatal heart attacks", US_national_yearly!$D:$AM, 24, FALSE) / VLOOKUP("buildings|SO2|Non-fatal heart attacks", US_national_yearly!$D:$AM, 10, FALSE), 1)</f>
        <v>3.2062824373290154E-3</v>
      </c>
      <c r="Q13" s="7">
        <f>$B13 * IFERROR(VLOOKUP("buildings|SO2|Non-fatal heart attacks", US_national_yearly!$D:$AM, 25, FALSE) / VLOOKUP("buildings|SO2|Non-fatal heart attacks", US_national_yearly!$D:$AM, 10, FALSE), 1)</f>
        <v>3.2412249716624567E-3</v>
      </c>
      <c r="R13" s="7">
        <f>$B13 * IFERROR(VLOOKUP("buildings|SO2|Non-fatal heart attacks", US_national_yearly!$D:$AM, 26, FALSE) / VLOOKUP("buildings|SO2|Non-fatal heart attacks", US_national_yearly!$D:$AM, 10, FALSE), 1)</f>
        <v>3.2761675059958984E-3</v>
      </c>
      <c r="S13" s="7">
        <f>$B13 * IFERROR(VLOOKUP("buildings|SO2|Non-fatal heart attacks", US_national_yearly!$D:$AM, 27, FALSE) / VLOOKUP("buildings|SO2|Non-fatal heart attacks", US_national_yearly!$D:$AM, 10, FALSE), 1)</f>
        <v>3.2944144402107262E-3</v>
      </c>
      <c r="T13" s="7">
        <f>$B13 * IFERROR(VLOOKUP("buildings|SO2|Non-fatal heart attacks", US_national_yearly!$D:$AM, 28, FALSE) / VLOOKUP("buildings|SO2|Non-fatal heart attacks", US_national_yearly!$D:$AM, 10, FALSE), 1)</f>
        <v>3.3126613744255545E-3</v>
      </c>
      <c r="U13" s="7">
        <f>$B13 * IFERROR(VLOOKUP("buildings|SO2|Non-fatal heart attacks", US_national_yearly!$D:$AM, 29, FALSE) / VLOOKUP("buildings|SO2|Non-fatal heart attacks", US_national_yearly!$D:$AM, 10, FALSE), 1)</f>
        <v>3.3309083086403811E-3</v>
      </c>
      <c r="V13" s="7">
        <f>$B13 * IFERROR(VLOOKUP("buildings|SO2|Non-fatal heart attacks", US_national_yearly!$D:$AM, 30, FALSE) / VLOOKUP("buildings|SO2|Non-fatal heart attacks", US_national_yearly!$D:$AM, 10, FALSE), 1)</f>
        <v>3.3491552428552094E-3</v>
      </c>
      <c r="W13" s="7">
        <f>$B13 * IFERROR(VLOOKUP("buildings|SO2|Non-fatal heart attacks", US_national_yearly!$D:$AM, 31, FALSE) / VLOOKUP("buildings|SO2|Non-fatal heart attacks", US_national_yearly!$D:$AM, 10, FALSE), 1)</f>
        <v>3.3674021770700368E-3</v>
      </c>
      <c r="X13" s="7">
        <f>$B13 * IFERROR(VLOOKUP("buildings|SO2|Non-fatal heart attacks", US_national_yearly!$D:$AM, 32, FALSE) / VLOOKUP("buildings|SO2|Non-fatal heart attacks", US_national_yearly!$D:$AM, 10, FALSE), 1)</f>
        <v>3.3811836017437606E-3</v>
      </c>
      <c r="Y13" s="7">
        <f>$B13 * IFERROR(VLOOKUP("buildings|SO2|Non-fatal heart attacks", US_national_yearly!$D:$AM, 33, FALSE) / VLOOKUP("buildings|SO2|Non-fatal heart attacks", US_national_yearly!$D:$AM, 10, FALSE), 1)</f>
        <v>3.3949650264174843E-3</v>
      </c>
      <c r="Z13" s="7">
        <f>$B13 * IFERROR(VLOOKUP("buildings|SO2|Non-fatal heart attacks", US_national_yearly!$D:$AM, 34, FALSE) / VLOOKUP("buildings|SO2|Non-fatal heart attacks", US_national_yearly!$D:$AM, 10, FALSE), 1)</f>
        <v>3.4087464510912072E-3</v>
      </c>
      <c r="AA13" s="7">
        <f>$B13 * IFERROR(VLOOKUP("buildings|SO2|Non-fatal heart attacks", US_national_yearly!$D:$AM, 35, FALSE) / VLOOKUP("buildings|SO2|Non-fatal heart attacks", US_national_yearly!$D:$AM, 10, FALSE), 1)</f>
        <v>3.4225278757649309E-3</v>
      </c>
      <c r="AB13" s="7">
        <f>$B13 * IFERROR(VLOOKUP("buildings|SO2|Non-fatal heart attacks", US_national_yearly!$D:$AM, 36, FALSE) / VLOOKUP("buildings|SO2|Non-fatal heart attacks", US_national_yearly!$D:$AM, 10, FALSE), 1)</f>
        <v>3.4363093004386542E-3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1.6904575055847986</v>
      </c>
      <c r="C14" s="7">
        <f>$B14 * IFERROR(VLOOKUP("buildings|SO2|Minor restricted activity days", US_national_yearly!$D:$AM, 11, FALSE) / VLOOKUP("buildings|SO2|Minor restricted activity days", US_national_yearly!$D:$AM, 10, FALSE), 1)</f>
        <v>1.6947368097097877</v>
      </c>
      <c r="D14" s="7">
        <f>$B14 * IFERROR(VLOOKUP("buildings|SO2|Minor restricted activity days", US_national_yearly!$D:$AM, 12, FALSE) / VLOOKUP("buildings|SO2|Minor restricted activity days", US_national_yearly!$D:$AM, 10, FALSE), 1)</f>
        <v>1.6990161138347772</v>
      </c>
      <c r="E14" s="7">
        <f>$B14 * IFERROR(VLOOKUP("buildings|SO2|Minor restricted activity days", US_national_yearly!$D:$AM, 13, FALSE) / VLOOKUP("buildings|SO2|Minor restricted activity days", US_national_yearly!$D:$AM, 10, FALSE), 1)</f>
        <v>1.7032954179597668</v>
      </c>
      <c r="F14" s="7">
        <f>$B14 * IFERROR(VLOOKUP("buildings|SO2|Minor restricted activity days", US_national_yearly!$D:$AM, 14, FALSE) / VLOOKUP("buildings|SO2|Minor restricted activity days", US_national_yearly!$D:$AM, 10, FALSE), 1)</f>
        <v>1.7075747220847559</v>
      </c>
      <c r="G14" s="7">
        <f>$B14 * IFERROR(VLOOKUP("buildings|SO2|Minor restricted activity days", US_national_yearly!$D:$AM, 15, FALSE) / VLOOKUP("buildings|SO2|Minor restricted activity days", US_national_yearly!$D:$AM, 10, FALSE), 1)</f>
        <v>1.7138669947108887</v>
      </c>
      <c r="H14" s="7">
        <f>$B14 * IFERROR(VLOOKUP("buildings|SO2|Minor restricted activity days", US_national_yearly!$D:$AM, 16, FALSE) / VLOOKUP("buildings|SO2|Minor restricted activity days", US_national_yearly!$D:$AM, 10, FALSE), 1)</f>
        <v>1.7201592673370212</v>
      </c>
      <c r="I14" s="7">
        <f>$B14 * IFERROR(VLOOKUP("buildings|SO2|Minor restricted activity days", US_national_yearly!$D:$AM, 17, FALSE) / VLOOKUP("buildings|SO2|Minor restricted activity days", US_national_yearly!$D:$AM, 10, FALSE), 1)</f>
        <v>1.7308756408457819</v>
      </c>
      <c r="J14" s="7">
        <f>$B14 * IFERROR(VLOOKUP("buildings|SO2|Minor restricted activity days", US_national_yearly!$D:$AM, 18, FALSE) / VLOOKUP("buildings|SO2|Minor restricted activity days", US_national_yearly!$D:$AM, 10, FALSE), 1)</f>
        <v>1.7415920143545429</v>
      </c>
      <c r="K14" s="7">
        <f>$B14 * IFERROR(VLOOKUP("buildings|SO2|Minor restricted activity days", US_national_yearly!$D:$AM, 19, FALSE) / VLOOKUP("buildings|SO2|Minor restricted activity days", US_national_yearly!$D:$AM, 10, FALSE), 1)</f>
        <v>1.7523083878633035</v>
      </c>
      <c r="L14" s="7">
        <f>$B14 * IFERROR(VLOOKUP("buildings|SO2|Minor restricted activity days", US_national_yearly!$D:$AM, 20, FALSE) / VLOOKUP("buildings|SO2|Minor restricted activity days", US_national_yearly!$D:$AM, 10, FALSE), 1)</f>
        <v>1.7630247613720642</v>
      </c>
      <c r="M14" s="7">
        <f>$B14 * IFERROR(VLOOKUP("buildings|SO2|Minor restricted activity days", US_national_yearly!$D:$AM, 21, FALSE) / VLOOKUP("buildings|SO2|Minor restricted activity days", US_national_yearly!$D:$AM, 10, FALSE), 1)</f>
        <v>1.7737411348808247</v>
      </c>
      <c r="N14" s="7">
        <f>$B14 * IFERROR(VLOOKUP("buildings|SO2|Minor restricted activity days", US_national_yearly!$D:$AM, 22, FALSE) / VLOOKUP("buildings|SO2|Minor restricted activity days", US_national_yearly!$D:$AM, 10, FALSE), 1)</f>
        <v>1.7883952125173295</v>
      </c>
      <c r="O14" s="7">
        <f>$B14 * IFERROR(VLOOKUP("buildings|SO2|Minor restricted activity days", US_national_yearly!$D:$AM, 23, FALSE) / VLOOKUP("buildings|SO2|Minor restricted activity days", US_national_yearly!$D:$AM, 10, FALSE), 1)</f>
        <v>1.8030492901538342</v>
      </c>
      <c r="P14" s="7">
        <f>$B14 * IFERROR(VLOOKUP("buildings|SO2|Minor restricted activity days", US_national_yearly!$D:$AM, 24, FALSE) / VLOOKUP("buildings|SO2|Minor restricted activity days", US_national_yearly!$D:$AM, 10, FALSE), 1)</f>
        <v>1.8177033677903385</v>
      </c>
      <c r="Q14" s="7">
        <f>$B14 * IFERROR(VLOOKUP("buildings|SO2|Minor restricted activity days", US_national_yearly!$D:$AM, 25, FALSE) / VLOOKUP("buildings|SO2|Minor restricted activity days", US_national_yearly!$D:$AM, 10, FALSE), 1)</f>
        <v>1.8323574454268432</v>
      </c>
      <c r="R14" s="7">
        <f>$B14 * IFERROR(VLOOKUP("buildings|SO2|Minor restricted activity days", US_national_yearly!$D:$AM, 26, FALSE) / VLOOKUP("buildings|SO2|Minor restricted activity days", US_national_yearly!$D:$AM, 10, FALSE), 1)</f>
        <v>1.8470115230633477</v>
      </c>
      <c r="S14" s="7">
        <f>$B14 * IFERROR(VLOOKUP("buildings|SO2|Minor restricted activity days", US_national_yearly!$D:$AM, 27, FALSE) / VLOOKUP("buildings|SO2|Minor restricted activity days", US_national_yearly!$D:$AM, 10, FALSE), 1)</f>
        <v>1.8619504038456225</v>
      </c>
      <c r="T14" s="7">
        <f>$B14 * IFERROR(VLOOKUP("buildings|SO2|Minor restricted activity days", US_national_yearly!$D:$AM, 28, FALSE) / VLOOKUP("buildings|SO2|Minor restricted activity days", US_national_yearly!$D:$AM, 10, FALSE), 1)</f>
        <v>1.8768892846278973</v>
      </c>
      <c r="U14" s="7">
        <f>$B14 * IFERROR(VLOOKUP("buildings|SO2|Minor restricted activity days", US_national_yearly!$D:$AM, 29, FALSE) / VLOOKUP("buildings|SO2|Minor restricted activity days", US_national_yearly!$D:$AM, 10, FALSE), 1)</f>
        <v>1.8918281654101718</v>
      </c>
      <c r="V14" s="7">
        <f>$B14 * IFERROR(VLOOKUP("buildings|SO2|Minor restricted activity days", US_national_yearly!$D:$AM, 30, FALSE) / VLOOKUP("buildings|SO2|Minor restricted activity days", US_national_yearly!$D:$AM, 10, FALSE), 1)</f>
        <v>1.9067670461924466</v>
      </c>
      <c r="W14" s="7">
        <f>$B14 * IFERROR(VLOOKUP("buildings|SO2|Minor restricted activity days", US_national_yearly!$D:$AM, 31, FALSE) / VLOOKUP("buildings|SO2|Minor restricted activity days", US_national_yearly!$D:$AM, 10, FALSE), 1)</f>
        <v>1.9217059269747219</v>
      </c>
      <c r="X14" s="7">
        <f>$B14 * IFERROR(VLOOKUP("buildings|SO2|Minor restricted activity days", US_national_yearly!$D:$AM, 32, FALSE) / VLOOKUP("buildings|SO2|Minor restricted activity days", US_national_yearly!$D:$AM, 10, FALSE), 1)</f>
        <v>1.9348438080951471</v>
      </c>
      <c r="Y14" s="7">
        <f>$B14 * IFERROR(VLOOKUP("buildings|SO2|Minor restricted activity days", US_national_yearly!$D:$AM, 33, FALSE) / VLOOKUP("buildings|SO2|Minor restricted activity days", US_national_yearly!$D:$AM, 10, FALSE), 1)</f>
        <v>1.947981689215573</v>
      </c>
      <c r="Z14" s="7">
        <f>$B14 * IFERROR(VLOOKUP("buildings|SO2|Minor restricted activity days", US_national_yearly!$D:$AM, 34, FALSE) / VLOOKUP("buildings|SO2|Minor restricted activity days", US_national_yearly!$D:$AM, 10, FALSE), 1)</f>
        <v>1.9611195703359985</v>
      </c>
      <c r="AA14" s="7">
        <f>$B14 * IFERROR(VLOOKUP("buildings|SO2|Minor restricted activity days", US_national_yearly!$D:$AM, 35, FALSE) / VLOOKUP("buildings|SO2|Minor restricted activity days", US_national_yearly!$D:$AM, 10, FALSE), 1)</f>
        <v>1.9742574514564242</v>
      </c>
      <c r="AB14" s="7">
        <f>$B14 * IFERROR(VLOOKUP("buildings|SO2|Minor restricted activity days", US_national_yearly!$D:$AM, 36, FALSE) / VLOOKUP("buildings|SO2|Minor restricted activity days", US_national_yearly!$D:$AM, 10, FALSE), 1)</f>
        <v>1.9873953325768496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0.28499434331868251</v>
      </c>
      <c r="C15" s="7">
        <f>$B15 * IFERROR(VLOOKUP("buildings|SO2|Work loss days", US_national_yearly!$D:$AM, 11, FALSE) / VLOOKUP("buildings|SO2|Work loss days", US_national_yearly!$D:$AM, 10, FALSE), 1)</f>
        <v>0.28592028529889951</v>
      </c>
      <c r="D15" s="7">
        <f>$B15 * IFERROR(VLOOKUP("buildings|SO2|Work loss days", US_national_yearly!$D:$AM, 12, FALSE) / VLOOKUP("buildings|SO2|Work loss days", US_national_yearly!$D:$AM, 10, FALSE), 1)</f>
        <v>0.28684622727911652</v>
      </c>
      <c r="E15" s="7">
        <f>$B15 * IFERROR(VLOOKUP("buildings|SO2|Work loss days", US_national_yearly!$D:$AM, 13, FALSE) / VLOOKUP("buildings|SO2|Work loss days", US_national_yearly!$D:$AM, 10, FALSE), 1)</f>
        <v>0.28777216925933352</v>
      </c>
      <c r="F15" s="7">
        <f>$B15 * IFERROR(VLOOKUP("buildings|SO2|Work loss days", US_national_yearly!$D:$AM, 14, FALSE) / VLOOKUP("buildings|SO2|Work loss days", US_national_yearly!$D:$AM, 10, FALSE), 1)</f>
        <v>0.28869811123955047</v>
      </c>
      <c r="G15" s="7">
        <f>$B15 * IFERROR(VLOOKUP("buildings|SO2|Work loss days", US_national_yearly!$D:$AM, 15, FALSE) / VLOOKUP("buildings|SO2|Work loss days", US_national_yearly!$D:$AM, 10, FALSE), 1)</f>
        <v>0.28990744270606622</v>
      </c>
      <c r="H15" s="7">
        <f>$B15 * IFERROR(VLOOKUP("buildings|SO2|Work loss days", US_national_yearly!$D:$AM, 16, FALSE) / VLOOKUP("buildings|SO2|Work loss days", US_national_yearly!$D:$AM, 10, FALSE), 1)</f>
        <v>0.29111677417258197</v>
      </c>
      <c r="I15" s="7">
        <f>$B15 * IFERROR(VLOOKUP("buildings|SO2|Work loss days", US_national_yearly!$D:$AM, 17, FALSE) / VLOOKUP("buildings|SO2|Work loss days", US_national_yearly!$D:$AM, 10, FALSE), 1)</f>
        <v>0.2928848844655299</v>
      </c>
      <c r="J15" s="7">
        <f>$B15 * IFERROR(VLOOKUP("buildings|SO2|Work loss days", US_national_yearly!$D:$AM, 18, FALSE) / VLOOKUP("buildings|SO2|Work loss days", US_national_yearly!$D:$AM, 10, FALSE), 1)</f>
        <v>0.29465299475847773</v>
      </c>
      <c r="K15" s="7">
        <f>$B15 * IFERROR(VLOOKUP("buildings|SO2|Work loss days", US_national_yearly!$D:$AM, 19, FALSE) / VLOOKUP("buildings|SO2|Work loss days", US_national_yearly!$D:$AM, 10, FALSE), 1)</f>
        <v>0.2964211050514256</v>
      </c>
      <c r="L15" s="7">
        <f>$B15 * IFERROR(VLOOKUP("buildings|SO2|Work loss days", US_national_yearly!$D:$AM, 20, FALSE) / VLOOKUP("buildings|SO2|Work loss days", US_national_yearly!$D:$AM, 10, FALSE), 1)</f>
        <v>0.29818921534437343</v>
      </c>
      <c r="M15" s="7">
        <f>$B15 * IFERROR(VLOOKUP("buildings|SO2|Work loss days", US_national_yearly!$D:$AM, 21, FALSE) / VLOOKUP("buildings|SO2|Work loss days", US_national_yearly!$D:$AM, 10, FALSE), 1)</f>
        <v>0.29995732563732125</v>
      </c>
      <c r="N15" s="7">
        <f>$B15 * IFERROR(VLOOKUP("buildings|SO2|Work loss days", US_national_yearly!$D:$AM, 22, FALSE) / VLOOKUP("buildings|SO2|Work loss days", US_national_yearly!$D:$AM, 10, FALSE), 1)</f>
        <v>0.30217450698075893</v>
      </c>
      <c r="O15" s="7">
        <f>$B15 * IFERROR(VLOOKUP("buildings|SO2|Work loss days", US_national_yearly!$D:$AM, 23, FALSE) / VLOOKUP("buildings|SO2|Work loss days", US_national_yearly!$D:$AM, 10, FALSE), 1)</f>
        <v>0.30439168832419655</v>
      </c>
      <c r="P15" s="7">
        <f>$B15 * IFERROR(VLOOKUP("buildings|SO2|Work loss days", US_national_yearly!$D:$AM, 24, FALSE) / VLOOKUP("buildings|SO2|Work loss days", US_national_yearly!$D:$AM, 10, FALSE), 1)</f>
        <v>0.30660886966763418</v>
      </c>
      <c r="Q15" s="7">
        <f>$B15 * IFERROR(VLOOKUP("buildings|SO2|Work loss days", US_national_yearly!$D:$AM, 25, FALSE) / VLOOKUP("buildings|SO2|Work loss days", US_national_yearly!$D:$AM, 10, FALSE), 1)</f>
        <v>0.30882605101107186</v>
      </c>
      <c r="R15" s="7">
        <f>$B15 * IFERROR(VLOOKUP("buildings|SO2|Work loss days", US_national_yearly!$D:$AM, 26, FALSE) / VLOOKUP("buildings|SO2|Work loss days", US_national_yearly!$D:$AM, 10, FALSE), 1)</f>
        <v>0.31104323235450942</v>
      </c>
      <c r="S15" s="7">
        <f>$B15 * IFERROR(VLOOKUP("buildings|SO2|Work loss days", US_national_yearly!$D:$AM, 27, FALSE) / VLOOKUP("buildings|SO2|Work loss days", US_national_yearly!$D:$AM, 10, FALSE), 1)</f>
        <v>0.31352001812807617</v>
      </c>
      <c r="T15" s="7">
        <f>$B15 * IFERROR(VLOOKUP("buildings|SO2|Work loss days", US_national_yearly!$D:$AM, 28, FALSE) / VLOOKUP("buildings|SO2|Work loss days", US_national_yearly!$D:$AM, 10, FALSE), 1)</f>
        <v>0.31599680390164292</v>
      </c>
      <c r="U15" s="7">
        <f>$B15 * IFERROR(VLOOKUP("buildings|SO2|Work loss days", US_national_yearly!$D:$AM, 29, FALSE) / VLOOKUP("buildings|SO2|Work loss days", US_national_yearly!$D:$AM, 10, FALSE), 1)</f>
        <v>0.31847358967520967</v>
      </c>
      <c r="V15" s="7">
        <f>$B15 * IFERROR(VLOOKUP("buildings|SO2|Work loss days", US_national_yearly!$D:$AM, 30, FALSE) / VLOOKUP("buildings|SO2|Work loss days", US_national_yearly!$D:$AM, 10, FALSE), 1)</f>
        <v>0.32095037544877636</v>
      </c>
      <c r="W15" s="7">
        <f>$B15 * IFERROR(VLOOKUP("buildings|SO2|Work loss days", US_national_yearly!$D:$AM, 31, FALSE) / VLOOKUP("buildings|SO2|Work loss days", US_national_yearly!$D:$AM, 10, FALSE), 1)</f>
        <v>0.32342716122234311</v>
      </c>
      <c r="X15" s="7">
        <f>$B15 * IFERROR(VLOOKUP("buildings|SO2|Work loss days", US_national_yearly!$D:$AM, 32, FALSE) / VLOOKUP("buildings|SO2|Work loss days", US_national_yearly!$D:$AM, 10, FALSE), 1)</f>
        <v>0.32565102289848452</v>
      </c>
      <c r="Y15" s="7">
        <f>$B15 * IFERROR(VLOOKUP("buildings|SO2|Work loss days", US_national_yearly!$D:$AM, 33, FALSE) / VLOOKUP("buildings|SO2|Work loss days", US_national_yearly!$D:$AM, 10, FALSE), 1)</f>
        <v>0.32787488457462588</v>
      </c>
      <c r="Z15" s="7">
        <f>$B15 * IFERROR(VLOOKUP("buildings|SO2|Work loss days", US_national_yearly!$D:$AM, 34, FALSE) / VLOOKUP("buildings|SO2|Work loss days", US_national_yearly!$D:$AM, 10, FALSE), 1)</f>
        <v>0.33009874625076718</v>
      </c>
      <c r="AA15" s="7">
        <f>$B15 * IFERROR(VLOOKUP("buildings|SO2|Work loss days", US_national_yearly!$D:$AM, 35, FALSE) / VLOOKUP("buildings|SO2|Work loss days", US_national_yearly!$D:$AM, 10, FALSE), 1)</f>
        <v>0.33232260792690854</v>
      </c>
      <c r="AB15" s="7">
        <f>$B15 * IFERROR(VLOOKUP("buildings|SO2|Work loss days", US_national_yearly!$D:$AM, 36, FALSE) / VLOOKUP("buildings|SO2|Work loss days", US_national_yearly!$D:$AM, 10, FALSE), 1)</f>
        <v>0.3345464696030499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5.4386272323782986E-4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5.6031422172537581E-4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5.7676572021292177E-4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5.9321721870046783E-4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6.0966871718801379E-4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6.2542826731559699E-4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6.4118781744318008E-4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6.546937201553154E-4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6.681996228674504E-4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6.8170552557958572E-4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6.9521142829172082E-4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7.0871733100385582E-4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7.1778627400174283E-4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7.2685521699962985E-4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7.3592415999751686E-4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7.4499310299540376E-4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7.5406204599329078E-4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7.5883121153699524E-4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7.6360037708069959E-4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7.6836954262440383E-4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7.7313870816810828E-4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7.7790787371181253E-4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7.8111037909569831E-4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7.8431288447958398E-4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7.8751538986346966E-4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7.9071789524735544E-4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7.9392040063124111E-4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3.757671964737129E-2</v>
      </c>
      <c r="C2" s="7">
        <f>$B2 * IFERROR(VLOOKUP("industry|PM25|Premature mortality", US_national_yearly!$D:$AM, 11, FALSE) / VLOOKUP("industry|PM25|Premature mortality", US_national_yearly!$D:$AM, 10, FALSE), 1)</f>
        <v>3.8044672603734897E-2</v>
      </c>
      <c r="D2" s="7">
        <f>$B2 * IFERROR(VLOOKUP("industry|PM25|Premature mortality", US_national_yearly!$D:$AM, 12, FALSE) / VLOOKUP("industry|PM25|Premature mortality", US_national_yearly!$D:$AM, 10, FALSE), 1)</f>
        <v>3.8512625560098497E-2</v>
      </c>
      <c r="E2" s="7">
        <f>$B2 * IFERROR(VLOOKUP("industry|PM25|Premature mortality", US_national_yearly!$D:$AM, 13, FALSE) / VLOOKUP("industry|PM25|Premature mortality", US_national_yearly!$D:$AM, 10, FALSE), 1)</f>
        <v>3.8980578516462104E-2</v>
      </c>
      <c r="F2" s="7">
        <f>$B2 * IFERROR(VLOOKUP("industry|PM25|Premature mortality", US_national_yearly!$D:$AM, 14, FALSE) / VLOOKUP("industry|PM25|Premature mortality", US_national_yearly!$D:$AM, 10, FALSE), 1)</f>
        <v>3.9448531472825704E-2</v>
      </c>
      <c r="G2" s="7">
        <f>$B2 * IFERROR(VLOOKUP("industry|PM25|Premature mortality", US_national_yearly!$D:$AM, 15, FALSE) / VLOOKUP("industry|PM25|Premature mortality", US_national_yearly!$D:$AM, 10, FALSE), 1)</f>
        <v>4.0358926680976598E-2</v>
      </c>
      <c r="H2" s="7">
        <f>$B2 * IFERROR(VLOOKUP("industry|PM25|Premature mortality", US_national_yearly!$D:$AM, 16, FALSE) / VLOOKUP("industry|PM25|Premature mortality", US_national_yearly!$D:$AM, 10, FALSE), 1)</f>
        <v>4.1269321889127492E-2</v>
      </c>
      <c r="I2" s="7">
        <f>$B2 * IFERROR(VLOOKUP("industry|PM25|Premature mortality", US_national_yearly!$D:$AM, 17, FALSE) / VLOOKUP("industry|PM25|Premature mortality", US_national_yearly!$D:$AM, 10, FALSE), 1)</f>
        <v>4.1870452818620979E-2</v>
      </c>
      <c r="J2" s="7">
        <f>$B2 * IFERROR(VLOOKUP("industry|PM25|Premature mortality", US_national_yearly!$D:$AM, 18, FALSE) / VLOOKUP("industry|PM25|Premature mortality", US_national_yearly!$D:$AM, 10, FALSE), 1)</f>
        <v>4.2471583748114466E-2</v>
      </c>
      <c r="K2" s="7">
        <f>$B2 * IFERROR(VLOOKUP("industry|PM25|Premature mortality", US_national_yearly!$D:$AM, 19, FALSE) / VLOOKUP("industry|PM25|Premature mortality", US_national_yearly!$D:$AM, 10, FALSE), 1)</f>
        <v>4.3072714677607947E-2</v>
      </c>
      <c r="L2" s="7">
        <f>$B2 * IFERROR(VLOOKUP("industry|PM25|Premature mortality", US_national_yearly!$D:$AM, 20, FALSE) / VLOOKUP("industry|PM25|Premature mortality", US_national_yearly!$D:$AM, 10, FALSE), 1)</f>
        <v>4.3673845607101427E-2</v>
      </c>
      <c r="M2" s="7">
        <f>$B2 * IFERROR(VLOOKUP("industry|PM25|Premature mortality", US_national_yearly!$D:$AM, 21, FALSE) / VLOOKUP("industry|PM25|Premature mortality", US_national_yearly!$D:$AM, 10, FALSE), 1)</f>
        <v>4.4274976536594915E-2</v>
      </c>
      <c r="N2" s="7">
        <f>$B2 * IFERROR(VLOOKUP("industry|PM25|Premature mortality", US_national_yearly!$D:$AM, 22, FALSE) / VLOOKUP("industry|PM25|Premature mortality", US_national_yearly!$D:$AM, 10, FALSE), 1)</f>
        <v>4.4743308925480563E-2</v>
      </c>
      <c r="O2" s="7">
        <f>$B2 * IFERROR(VLOOKUP("industry|PM25|Premature mortality", US_national_yearly!$D:$AM, 23, FALSE) / VLOOKUP("industry|PM25|Premature mortality", US_national_yearly!$D:$AM, 10, FALSE), 1)</f>
        <v>4.5211641314366197E-2</v>
      </c>
      <c r="P2" s="7">
        <f>$B2 * IFERROR(VLOOKUP("industry|PM25|Premature mortality", US_national_yearly!$D:$AM, 24, FALSE) / VLOOKUP("industry|PM25|Premature mortality", US_national_yearly!$D:$AM, 10, FALSE), 1)</f>
        <v>4.5679973703251844E-2</v>
      </c>
      <c r="Q2" s="7">
        <f>$B2 * IFERROR(VLOOKUP("industry|PM25|Premature mortality", US_national_yearly!$D:$AM, 25, FALSE) / VLOOKUP("industry|PM25|Premature mortality", US_national_yearly!$D:$AM, 10, FALSE), 1)</f>
        <v>4.6148306092137485E-2</v>
      </c>
      <c r="R2" s="7">
        <f>$B2 * IFERROR(VLOOKUP("industry|PM25|Premature mortality", US_national_yearly!$D:$AM, 26, FALSE) / VLOOKUP("industry|PM25|Premature mortality", US_national_yearly!$D:$AM, 10, FALSE), 1)</f>
        <v>4.6616638481023126E-2</v>
      </c>
      <c r="S2" s="7">
        <f>$B2 * IFERROR(VLOOKUP("industry|PM25|Premature mortality", US_national_yearly!$D:$AM, 27, FALSE) / VLOOKUP("industry|PM25|Premature mortality", US_national_yearly!$D:$AM, 10, FALSE), 1)</f>
        <v>4.6869520600702617E-2</v>
      </c>
      <c r="T2" s="7">
        <f>$B2 * IFERROR(VLOOKUP("industry|PM25|Premature mortality", US_national_yearly!$D:$AM, 28, FALSE) / VLOOKUP("industry|PM25|Premature mortality", US_national_yearly!$D:$AM, 10, FALSE), 1)</f>
        <v>4.7122402720382102E-2</v>
      </c>
      <c r="U2" s="7">
        <f>$B2 * IFERROR(VLOOKUP("industry|PM25|Premature mortality", US_national_yearly!$D:$AM, 29, FALSE) / VLOOKUP("industry|PM25|Premature mortality", US_national_yearly!$D:$AM, 10, FALSE), 1)</f>
        <v>4.7375284840061614E-2</v>
      </c>
      <c r="V2" s="7">
        <f>$B2 * IFERROR(VLOOKUP("industry|PM25|Premature mortality", US_national_yearly!$D:$AM, 30, FALSE) / VLOOKUP("industry|PM25|Premature mortality", US_national_yearly!$D:$AM, 10, FALSE), 1)</f>
        <v>4.7628166959741106E-2</v>
      </c>
      <c r="W2" s="7">
        <f>$B2 * IFERROR(VLOOKUP("industry|PM25|Premature mortality", US_national_yearly!$D:$AM, 31, FALSE) / VLOOKUP("industry|PM25|Premature mortality", US_national_yearly!$D:$AM, 10, FALSE), 1)</f>
        <v>4.788104907942059E-2</v>
      </c>
      <c r="X2" s="7">
        <f>$B2 * IFERROR(VLOOKUP("industry|PM25|Premature mortality", US_national_yearly!$D:$AM, 32, FALSE) / VLOOKUP("industry|PM25|Premature mortality", US_national_yearly!$D:$AM, 10, FALSE), 1)</f>
        <v>4.7933260373453565E-2</v>
      </c>
      <c r="Y2" s="7">
        <f>$B2 * IFERROR(VLOOKUP("industry|PM25|Premature mortality", US_national_yearly!$D:$AM, 33, FALSE) / VLOOKUP("industry|PM25|Premature mortality", US_national_yearly!$D:$AM, 10, FALSE), 1)</f>
        <v>4.7985471667486561E-2</v>
      </c>
      <c r="Z2" s="7">
        <f>$B2 * IFERROR(VLOOKUP("industry|PM25|Premature mortality", US_national_yearly!$D:$AM, 34, FALSE) / VLOOKUP("industry|PM25|Premature mortality", US_national_yearly!$D:$AM, 10, FALSE), 1)</f>
        <v>4.8037682961519529E-2</v>
      </c>
      <c r="AA2" s="7">
        <f>$B2 * IFERROR(VLOOKUP("industry|PM25|Premature mortality", US_national_yearly!$D:$AM, 35, FALSE) / VLOOKUP("industry|PM25|Premature mortality", US_national_yearly!$D:$AM, 10, FALSE), 1)</f>
        <v>4.8089894255552518E-2</v>
      </c>
      <c r="AB2" s="7">
        <f>$B2 * IFERROR(VLOOKUP("industry|PM25|Premature mortality", US_national_yearly!$D:$AM, 36, FALSE) / VLOOKUP("industry|PM25|Premature mortality", US_national_yearly!$D:$AM, 10, FALSE), 1)</f>
        <v>4.8142105549585493E-2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9.1307793890627024E-5</v>
      </c>
      <c r="C3" s="7">
        <f>$B3 * IFERROR(VLOOKUP("industry|PM25|Infant mortality", US_national_yearly!$D:$AM, 11, FALSE) / VLOOKUP("industry|PM25|Infant mortality", US_national_yearly!$D:$AM, 10, FALSE), 1)</f>
        <v>9.0512790730475662E-5</v>
      </c>
      <c r="D3" s="7">
        <f>$B3 * IFERROR(VLOOKUP("industry|PM25|Infant mortality", US_national_yearly!$D:$AM, 12, FALSE) / VLOOKUP("industry|PM25|Infant mortality", US_national_yearly!$D:$AM, 10, FALSE), 1)</f>
        <v>8.97177875703243E-5</v>
      </c>
      <c r="E3" s="7">
        <f>$B3 * IFERROR(VLOOKUP("industry|PM25|Infant mortality", US_national_yearly!$D:$AM, 13, FALSE) / VLOOKUP("industry|PM25|Infant mortality", US_national_yearly!$D:$AM, 10, FALSE), 1)</f>
        <v>8.8922784410172924E-5</v>
      </c>
      <c r="F3" s="7">
        <f>$B3 * IFERROR(VLOOKUP("industry|PM25|Infant mortality", US_national_yearly!$D:$AM, 14, FALSE) / VLOOKUP("industry|PM25|Infant mortality", US_national_yearly!$D:$AM, 10, FALSE), 1)</f>
        <v>8.8127781250021563E-5</v>
      </c>
      <c r="G3" s="7">
        <f>$B3 * IFERROR(VLOOKUP("industry|PM25|Infant mortality", US_national_yearly!$D:$AM, 15, FALSE) / VLOOKUP("industry|PM25|Infant mortality", US_national_yearly!$D:$AM, 10, FALSE), 1)</f>
        <v>5.8555182597632582E-5</v>
      </c>
      <c r="H3" s="7">
        <f>$B3 * IFERROR(VLOOKUP("industry|PM25|Infant mortality", US_national_yearly!$D:$AM, 16, FALSE) / VLOOKUP("industry|PM25|Infant mortality", US_national_yearly!$D:$AM, 10, FALSE), 1)</f>
        <v>2.8982583945243601E-5</v>
      </c>
      <c r="I3" s="7">
        <f>$B3 * IFERROR(VLOOKUP("industry|PM25|Infant mortality", US_national_yearly!$D:$AM, 17, FALSE) / VLOOKUP("industry|PM25|Infant mortality", US_national_yearly!$D:$AM, 10, FALSE), 1)</f>
        <v>2.8789676263177762E-5</v>
      </c>
      <c r="J3" s="7">
        <f>$B3 * IFERROR(VLOOKUP("industry|PM25|Infant mortality", US_national_yearly!$D:$AM, 18, FALSE) / VLOOKUP("industry|PM25|Infant mortality", US_national_yearly!$D:$AM, 10, FALSE), 1)</f>
        <v>2.8596768581111927E-5</v>
      </c>
      <c r="K3" s="7">
        <f>$B3 * IFERROR(VLOOKUP("industry|PM25|Infant mortality", US_national_yearly!$D:$AM, 19, FALSE) / VLOOKUP("industry|PM25|Infant mortality", US_national_yearly!$D:$AM, 10, FALSE), 1)</f>
        <v>2.8403860899046091E-5</v>
      </c>
      <c r="L3" s="7">
        <f>$B3 * IFERROR(VLOOKUP("industry|PM25|Infant mortality", US_national_yearly!$D:$AM, 20, FALSE) / VLOOKUP("industry|PM25|Infant mortality", US_national_yearly!$D:$AM, 10, FALSE), 1)</f>
        <v>2.8210953216980252E-5</v>
      </c>
      <c r="M3" s="7">
        <f>$B3 * IFERROR(VLOOKUP("industry|PM25|Infant mortality", US_national_yearly!$D:$AM, 21, FALSE) / VLOOKUP("industry|PM25|Infant mortality", US_national_yearly!$D:$AM, 10, FALSE), 1)</f>
        <v>2.801804553491442E-5</v>
      </c>
      <c r="N3" s="7">
        <f>$B3 * IFERROR(VLOOKUP("industry|PM25|Infant mortality", US_national_yearly!$D:$AM, 22, FALSE) / VLOOKUP("industry|PM25|Infant mortality", US_national_yearly!$D:$AM, 10, FALSE), 1)</f>
        <v>2.7894951648573269E-5</v>
      </c>
      <c r="O3" s="7">
        <f>$B3 * IFERROR(VLOOKUP("industry|PM25|Infant mortality", US_national_yearly!$D:$AM, 23, FALSE) / VLOOKUP("industry|PM25|Infant mortality", US_national_yearly!$D:$AM, 10, FALSE), 1)</f>
        <v>2.7771857762232122E-5</v>
      </c>
      <c r="P3" s="7">
        <f>$B3 * IFERROR(VLOOKUP("industry|PM25|Infant mortality", US_national_yearly!$D:$AM, 24, FALSE) / VLOOKUP("industry|PM25|Infant mortality", US_national_yearly!$D:$AM, 10, FALSE), 1)</f>
        <v>2.7648763875890981E-5</v>
      </c>
      <c r="Q3" s="7">
        <f>$B3 * IFERROR(VLOOKUP("industry|PM25|Infant mortality", US_national_yearly!$D:$AM, 25, FALSE) / VLOOKUP("industry|PM25|Infant mortality", US_national_yearly!$D:$AM, 10, FALSE), 1)</f>
        <v>2.7525669989549834E-5</v>
      </c>
      <c r="R3" s="7">
        <f>$B3 * IFERROR(VLOOKUP("industry|PM25|Infant mortality", US_national_yearly!$D:$AM, 26, FALSE) / VLOOKUP("industry|PM25|Infant mortality", US_national_yearly!$D:$AM, 10, FALSE), 1)</f>
        <v>2.7402576103208686E-5</v>
      </c>
      <c r="S3" s="7">
        <f>$B3 * IFERROR(VLOOKUP("industry|PM25|Infant mortality", US_national_yearly!$D:$AM, 27, FALSE) / VLOOKUP("industry|PM25|Infant mortality", US_national_yearly!$D:$AM, 10, FALSE), 1)</f>
        <v>2.7251181737201572E-5</v>
      </c>
      <c r="T3" s="7">
        <f>$B3 * IFERROR(VLOOKUP("industry|PM25|Infant mortality", US_national_yearly!$D:$AM, 28, FALSE) / VLOOKUP("industry|PM25|Infant mortality", US_national_yearly!$D:$AM, 10, FALSE), 1)</f>
        <v>2.7099787371194461E-5</v>
      </c>
      <c r="U3" s="7">
        <f>$B3 * IFERROR(VLOOKUP("industry|PM25|Infant mortality", US_national_yearly!$D:$AM, 29, FALSE) / VLOOKUP("industry|PM25|Infant mortality", US_national_yearly!$D:$AM, 10, FALSE), 1)</f>
        <v>2.6948393005187347E-5</v>
      </c>
      <c r="V3" s="7">
        <f>$B3 * IFERROR(VLOOKUP("industry|PM25|Infant mortality", US_national_yearly!$D:$AM, 30, FALSE) / VLOOKUP("industry|PM25|Infant mortality", US_national_yearly!$D:$AM, 10, FALSE), 1)</f>
        <v>2.6796998639180236E-5</v>
      </c>
      <c r="W3" s="7">
        <f>$B3 * IFERROR(VLOOKUP("industry|PM25|Infant mortality", US_national_yearly!$D:$AM, 31, FALSE) / VLOOKUP("industry|PM25|Infant mortality", US_national_yearly!$D:$AM, 10, FALSE), 1)</f>
        <v>2.6645604273173125E-5</v>
      </c>
      <c r="X3" s="7">
        <f>$B3 * IFERROR(VLOOKUP("industry|PM25|Infant mortality", US_national_yearly!$D:$AM, 32, FALSE) / VLOOKUP("industry|PM25|Infant mortality", US_national_yearly!$D:$AM, 10, FALSE), 1)</f>
        <v>2.6483820422854938E-5</v>
      </c>
      <c r="Y3" s="7">
        <f>$B3 * IFERROR(VLOOKUP("industry|PM25|Infant mortality", US_national_yearly!$D:$AM, 33, FALSE) / VLOOKUP("industry|PM25|Infant mortality", US_national_yearly!$D:$AM, 10, FALSE), 1)</f>
        <v>2.632203657253675E-5</v>
      </c>
      <c r="Z3" s="7">
        <f>$B3 * IFERROR(VLOOKUP("industry|PM25|Infant mortality", US_national_yearly!$D:$AM, 34, FALSE) / VLOOKUP("industry|PM25|Infant mortality", US_national_yearly!$D:$AM, 10, FALSE), 1)</f>
        <v>2.6160252722218563E-5</v>
      </c>
      <c r="AA3" s="7">
        <f>$B3 * IFERROR(VLOOKUP("industry|PM25|Infant mortality", US_national_yearly!$D:$AM, 35, FALSE) / VLOOKUP("industry|PM25|Infant mortality", US_national_yearly!$D:$AM, 10, FALSE), 1)</f>
        <v>2.5998468871900375E-5</v>
      </c>
      <c r="AB3" s="7">
        <f>$B3 * IFERROR(VLOOKUP("industry|PM25|Infant mortality", US_national_yearly!$D:$AM, 36, FALSE) / VLOOKUP("industry|PM25|Infant mortality", US_national_yearly!$D:$AM, 10, FALSE), 1)</f>
        <v>2.5836685021582188E-5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8.2740925852261976E-2</v>
      </c>
      <c r="C6" s="7">
        <f>$B6 * IFERROR(VLOOKUP("industry|PM25|Asthma symptoms cough", US_national_yearly!$D:$AM, 11, FALSE) / VLOOKUP("industry|PM25|Asthma symptoms cough", US_national_yearly!$D:$AM, 10, FALSE), 1)</f>
        <v>8.2740925852261976E-2</v>
      </c>
      <c r="D6" s="7">
        <f>$B6 * IFERROR(VLOOKUP("industry|PM25|Asthma symptoms cough", US_national_yearly!$D:$AM, 12, FALSE) / VLOOKUP("industry|PM25|Asthma symptoms cough", US_national_yearly!$D:$AM, 10, FALSE), 1)</f>
        <v>8.2740925852261976E-2</v>
      </c>
      <c r="E6" s="7">
        <f>$B6 * IFERROR(VLOOKUP("industry|PM25|Asthma symptoms cough", US_national_yearly!$D:$AM, 13, FALSE) / VLOOKUP("industry|PM25|Asthma symptoms cough", US_national_yearly!$D:$AM, 10, FALSE), 1)</f>
        <v>8.2740925852261976E-2</v>
      </c>
      <c r="F6" s="7">
        <f>$B6 * IFERROR(VLOOKUP("industry|PM25|Asthma symptoms cough", US_national_yearly!$D:$AM, 14, FALSE) / VLOOKUP("industry|PM25|Asthma symptoms cough", US_national_yearly!$D:$AM, 10, FALSE), 1)</f>
        <v>8.2740925852261976E-2</v>
      </c>
      <c r="G6" s="7">
        <f>$B6 * IFERROR(VLOOKUP("industry|PM25|Asthma symptoms cough", US_national_yearly!$D:$AM, 15, FALSE) / VLOOKUP("industry|PM25|Asthma symptoms cough", US_national_yearly!$D:$AM, 10, FALSE), 1)</f>
        <v>8.2740925852261976E-2</v>
      </c>
      <c r="H6" s="7">
        <f>$B6 * IFERROR(VLOOKUP("industry|PM25|Asthma symptoms cough", US_national_yearly!$D:$AM, 16, FALSE) / VLOOKUP("industry|PM25|Asthma symptoms cough", US_national_yearly!$D:$AM, 10, FALSE), 1)</f>
        <v>8.2740925852261976E-2</v>
      </c>
      <c r="I6" s="7">
        <f>$B6 * IFERROR(VLOOKUP("industry|PM25|Asthma symptoms cough", US_national_yearly!$D:$AM, 17, FALSE) / VLOOKUP("industry|PM25|Asthma symptoms cough", US_national_yearly!$D:$AM, 10, FALSE), 1)</f>
        <v>8.2740925852261976E-2</v>
      </c>
      <c r="J6" s="7">
        <f>$B6 * IFERROR(VLOOKUP("industry|PM25|Asthma symptoms cough", US_national_yearly!$D:$AM, 18, FALSE) / VLOOKUP("industry|PM25|Asthma symptoms cough", US_national_yearly!$D:$AM, 10, FALSE), 1)</f>
        <v>8.2740925852261976E-2</v>
      </c>
      <c r="K6" s="7">
        <f>$B6 * IFERROR(VLOOKUP("industry|PM25|Asthma symptoms cough", US_national_yearly!$D:$AM, 19, FALSE) / VLOOKUP("industry|PM25|Asthma symptoms cough", US_national_yearly!$D:$AM, 10, FALSE), 1)</f>
        <v>8.2740925852261976E-2</v>
      </c>
      <c r="L6" s="7">
        <f>$B6 * IFERROR(VLOOKUP("industry|PM25|Asthma symptoms cough", US_national_yearly!$D:$AM, 20, FALSE) / VLOOKUP("industry|PM25|Asthma symptoms cough", US_national_yearly!$D:$AM, 10, FALSE), 1)</f>
        <v>8.2740925852261976E-2</v>
      </c>
      <c r="M6" s="7">
        <f>$B6 * IFERROR(VLOOKUP("industry|PM25|Asthma symptoms cough", US_national_yearly!$D:$AM, 21, FALSE) / VLOOKUP("industry|PM25|Asthma symptoms cough", US_national_yearly!$D:$AM, 10, FALSE), 1)</f>
        <v>8.2740925852261976E-2</v>
      </c>
      <c r="N6" s="7">
        <f>$B6 * IFERROR(VLOOKUP("industry|PM25|Asthma symptoms cough", US_national_yearly!$D:$AM, 22, FALSE) / VLOOKUP("industry|PM25|Asthma symptoms cough", US_national_yearly!$D:$AM, 10, FALSE), 1)</f>
        <v>8.2740925852261976E-2</v>
      </c>
      <c r="O6" s="7">
        <f>$B6 * IFERROR(VLOOKUP("industry|PM25|Asthma symptoms cough", US_national_yearly!$D:$AM, 23, FALSE) / VLOOKUP("industry|PM25|Asthma symptoms cough", US_national_yearly!$D:$AM, 10, FALSE), 1)</f>
        <v>8.2740925852261976E-2</v>
      </c>
      <c r="P6" s="7">
        <f>$B6 * IFERROR(VLOOKUP("industry|PM25|Asthma symptoms cough", US_national_yearly!$D:$AM, 24, FALSE) / VLOOKUP("industry|PM25|Asthma symptoms cough", US_national_yearly!$D:$AM, 10, FALSE), 1)</f>
        <v>8.2740925852261976E-2</v>
      </c>
      <c r="Q6" s="7">
        <f>$B6 * IFERROR(VLOOKUP("industry|PM25|Asthma symptoms cough", US_national_yearly!$D:$AM, 25, FALSE) / VLOOKUP("industry|PM25|Asthma symptoms cough", US_national_yearly!$D:$AM, 10, FALSE), 1)</f>
        <v>8.2740925852261976E-2</v>
      </c>
      <c r="R6" s="7">
        <f>$B6 * IFERROR(VLOOKUP("industry|PM25|Asthma symptoms cough", US_national_yearly!$D:$AM, 26, FALSE) / VLOOKUP("industry|PM25|Asthma symptoms cough", US_national_yearly!$D:$AM, 10, FALSE), 1)</f>
        <v>8.2740925852261976E-2</v>
      </c>
      <c r="S6" s="7">
        <f>$B6 * IFERROR(VLOOKUP("industry|PM25|Asthma symptoms cough", US_national_yearly!$D:$AM, 27, FALSE) / VLOOKUP("industry|PM25|Asthma symptoms cough", US_national_yearly!$D:$AM, 10, FALSE), 1)</f>
        <v>8.2740925852261976E-2</v>
      </c>
      <c r="T6" s="7">
        <f>$B6 * IFERROR(VLOOKUP("industry|PM25|Asthma symptoms cough", US_national_yearly!$D:$AM, 28, FALSE) / VLOOKUP("industry|PM25|Asthma symptoms cough", US_national_yearly!$D:$AM, 10, FALSE), 1)</f>
        <v>8.2740925852261976E-2</v>
      </c>
      <c r="U6" s="7">
        <f>$B6 * IFERROR(VLOOKUP("industry|PM25|Asthma symptoms cough", US_national_yearly!$D:$AM, 29, FALSE) / VLOOKUP("industry|PM25|Asthma symptoms cough", US_national_yearly!$D:$AM, 10, FALSE), 1)</f>
        <v>8.2740925852261976E-2</v>
      </c>
      <c r="V6" s="7">
        <f>$B6 * IFERROR(VLOOKUP("industry|PM25|Asthma symptoms cough", US_national_yearly!$D:$AM, 30, FALSE) / VLOOKUP("industry|PM25|Asthma symptoms cough", US_national_yearly!$D:$AM, 10, FALSE), 1)</f>
        <v>8.2740925852261976E-2</v>
      </c>
      <c r="W6" s="7">
        <f>$B6 * IFERROR(VLOOKUP("industry|PM25|Asthma symptoms cough", US_national_yearly!$D:$AM, 31, FALSE) / VLOOKUP("industry|PM25|Asthma symptoms cough", US_national_yearly!$D:$AM, 10, FALSE), 1)</f>
        <v>8.2740925852261976E-2</v>
      </c>
      <c r="X6" s="7">
        <f>$B6 * IFERROR(VLOOKUP("industry|PM25|Asthma symptoms cough", US_national_yearly!$D:$AM, 32, FALSE) / VLOOKUP("industry|PM25|Asthma symptoms cough", US_national_yearly!$D:$AM, 10, FALSE), 1)</f>
        <v>8.2740925852261976E-2</v>
      </c>
      <c r="Y6" s="7">
        <f>$B6 * IFERROR(VLOOKUP("industry|PM25|Asthma symptoms cough", US_national_yearly!$D:$AM, 33, FALSE) / VLOOKUP("industry|PM25|Asthma symptoms cough", US_national_yearly!$D:$AM, 10, FALSE), 1)</f>
        <v>8.2740925852261976E-2</v>
      </c>
      <c r="Z6" s="7">
        <f>$B6 * IFERROR(VLOOKUP("industry|PM25|Asthma symptoms cough", US_national_yearly!$D:$AM, 34, FALSE) / VLOOKUP("industry|PM25|Asthma symptoms cough", US_national_yearly!$D:$AM, 10, FALSE), 1)</f>
        <v>8.2740925852261976E-2</v>
      </c>
      <c r="AA6" s="7">
        <f>$B6 * IFERROR(VLOOKUP("industry|PM25|Asthma symptoms cough", US_national_yearly!$D:$AM, 35, FALSE) / VLOOKUP("industry|PM25|Asthma symptoms cough", US_national_yearly!$D:$AM, 10, FALSE), 1)</f>
        <v>8.2740925852261976E-2</v>
      </c>
      <c r="AB6" s="7">
        <f>$B6 * IFERROR(VLOOKUP("industry|PM25|Asthma symptoms cough", US_national_yearly!$D:$AM, 36, FALSE) / VLOOKUP("industry|PM25|Asthma symptoms cough", US_national_yearly!$D:$AM, 10, FALSE), 1)</f>
        <v>8.2740925852261976E-2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0.1114105769456667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0.1114105769456667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0.1114105769456667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0.1114105769456667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0.1114105769456667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0.1114105769456667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0.1114105769456667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0.1114105769456667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0.1114105769456667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0.1114105769456667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0.1114105769456667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0.1114105769456667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0.1114105769456667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0.1114105769456667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0.1114105769456667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0.1114105769456667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0.1114105769456667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0.1114105769456667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0.1114105769456667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0.1114105769456667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0.1114105769456667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0.1114105769456667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0.1114105769456667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0.1114105769456667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0.1114105769456667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0.1114105769456667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0.1114105769456667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0.17025952768736197</v>
      </c>
      <c r="C8" s="7">
        <f>$B8 * IFERROR(VLOOKUP("industry|PM25|Asthma symptoms wheeze", US_national_yearly!$D:$AM, 11, FALSE) / VLOOKUP("industry|PM25|Asthma symptoms wheeze", US_national_yearly!$D:$AM, 10, FALSE), 1)</f>
        <v>0.17025952768736197</v>
      </c>
      <c r="D8" s="7">
        <f>$B8 * IFERROR(VLOOKUP("industry|PM25|Asthma symptoms wheeze", US_national_yearly!$D:$AM, 12, FALSE) / VLOOKUP("industry|PM25|Asthma symptoms wheeze", US_national_yearly!$D:$AM, 10, FALSE), 1)</f>
        <v>0.17025952768736197</v>
      </c>
      <c r="E8" s="7">
        <f>$B8 * IFERROR(VLOOKUP("industry|PM25|Asthma symptoms wheeze", US_national_yearly!$D:$AM, 13, FALSE) / VLOOKUP("industry|PM25|Asthma symptoms wheeze", US_national_yearly!$D:$AM, 10, FALSE), 1)</f>
        <v>0.17025952768736197</v>
      </c>
      <c r="F8" s="7">
        <f>$B8 * IFERROR(VLOOKUP("industry|PM25|Asthma symptoms wheeze", US_national_yearly!$D:$AM, 14, FALSE) / VLOOKUP("industry|PM25|Asthma symptoms wheeze", US_national_yearly!$D:$AM, 10, FALSE), 1)</f>
        <v>0.17025952768736197</v>
      </c>
      <c r="G8" s="7">
        <f>$B8 * IFERROR(VLOOKUP("industry|PM25|Asthma symptoms wheeze", US_national_yearly!$D:$AM, 15, FALSE) / VLOOKUP("industry|PM25|Asthma symptoms wheeze", US_national_yearly!$D:$AM, 10, FALSE), 1)</f>
        <v>0.17025952768736197</v>
      </c>
      <c r="H8" s="7">
        <f>$B8 * IFERROR(VLOOKUP("industry|PM25|Asthma symptoms wheeze", US_national_yearly!$D:$AM, 16, FALSE) / VLOOKUP("industry|PM25|Asthma symptoms wheeze", US_national_yearly!$D:$AM, 10, FALSE), 1)</f>
        <v>0.17025952768736197</v>
      </c>
      <c r="I8" s="7">
        <f>$B8 * IFERROR(VLOOKUP("industry|PM25|Asthma symptoms wheeze", US_national_yearly!$D:$AM, 17, FALSE) / VLOOKUP("industry|PM25|Asthma symptoms wheeze", US_national_yearly!$D:$AM, 10, FALSE), 1)</f>
        <v>0.17025952768736197</v>
      </c>
      <c r="J8" s="7">
        <f>$B8 * IFERROR(VLOOKUP("industry|PM25|Asthma symptoms wheeze", US_national_yearly!$D:$AM, 18, FALSE) / VLOOKUP("industry|PM25|Asthma symptoms wheeze", US_national_yearly!$D:$AM, 10, FALSE), 1)</f>
        <v>0.17025952768736197</v>
      </c>
      <c r="K8" s="7">
        <f>$B8 * IFERROR(VLOOKUP("industry|PM25|Asthma symptoms wheeze", US_national_yearly!$D:$AM, 19, FALSE) / VLOOKUP("industry|PM25|Asthma symptoms wheeze", US_national_yearly!$D:$AM, 10, FALSE), 1)</f>
        <v>0.17025952768736197</v>
      </c>
      <c r="L8" s="7">
        <f>$B8 * IFERROR(VLOOKUP("industry|PM25|Asthma symptoms wheeze", US_national_yearly!$D:$AM, 20, FALSE) / VLOOKUP("industry|PM25|Asthma symptoms wheeze", US_national_yearly!$D:$AM, 10, FALSE), 1)</f>
        <v>0.17025952768736197</v>
      </c>
      <c r="M8" s="7">
        <f>$B8 * IFERROR(VLOOKUP("industry|PM25|Asthma symptoms wheeze", US_national_yearly!$D:$AM, 21, FALSE) / VLOOKUP("industry|PM25|Asthma symptoms wheeze", US_national_yearly!$D:$AM, 10, FALSE), 1)</f>
        <v>0.17025952768736197</v>
      </c>
      <c r="N8" s="7">
        <f>$B8 * IFERROR(VLOOKUP("industry|PM25|Asthma symptoms wheeze", US_national_yearly!$D:$AM, 22, FALSE) / VLOOKUP("industry|PM25|Asthma symptoms wheeze", US_national_yearly!$D:$AM, 10, FALSE), 1)</f>
        <v>0.17025952768736197</v>
      </c>
      <c r="O8" s="7">
        <f>$B8 * IFERROR(VLOOKUP("industry|PM25|Asthma symptoms wheeze", US_national_yearly!$D:$AM, 23, FALSE) / VLOOKUP("industry|PM25|Asthma symptoms wheeze", US_national_yearly!$D:$AM, 10, FALSE), 1)</f>
        <v>0.17025952768736197</v>
      </c>
      <c r="P8" s="7">
        <f>$B8 * IFERROR(VLOOKUP("industry|PM25|Asthma symptoms wheeze", US_national_yearly!$D:$AM, 24, FALSE) / VLOOKUP("industry|PM25|Asthma symptoms wheeze", US_national_yearly!$D:$AM, 10, FALSE), 1)</f>
        <v>0.17025952768736197</v>
      </c>
      <c r="Q8" s="7">
        <f>$B8 * IFERROR(VLOOKUP("industry|PM25|Asthma symptoms wheeze", US_national_yearly!$D:$AM, 25, FALSE) / VLOOKUP("industry|PM25|Asthma symptoms wheeze", US_national_yearly!$D:$AM, 10, FALSE), 1)</f>
        <v>0.17025952768736197</v>
      </c>
      <c r="R8" s="7">
        <f>$B8 * IFERROR(VLOOKUP("industry|PM25|Asthma symptoms wheeze", US_national_yearly!$D:$AM, 26, FALSE) / VLOOKUP("industry|PM25|Asthma symptoms wheeze", US_national_yearly!$D:$AM, 10, FALSE), 1)</f>
        <v>0.17025952768736197</v>
      </c>
      <c r="S8" s="7">
        <f>$B8 * IFERROR(VLOOKUP("industry|PM25|Asthma symptoms wheeze", US_national_yearly!$D:$AM, 27, FALSE) / VLOOKUP("industry|PM25|Asthma symptoms wheeze", US_national_yearly!$D:$AM, 10, FALSE), 1)</f>
        <v>0.17025952768736197</v>
      </c>
      <c r="T8" s="7">
        <f>$B8 * IFERROR(VLOOKUP("industry|PM25|Asthma symptoms wheeze", US_national_yearly!$D:$AM, 28, FALSE) / VLOOKUP("industry|PM25|Asthma symptoms wheeze", US_national_yearly!$D:$AM, 10, FALSE), 1)</f>
        <v>0.17025952768736197</v>
      </c>
      <c r="U8" s="7">
        <f>$B8 * IFERROR(VLOOKUP("industry|PM25|Asthma symptoms wheeze", US_national_yearly!$D:$AM, 29, FALSE) / VLOOKUP("industry|PM25|Asthma symptoms wheeze", US_national_yearly!$D:$AM, 10, FALSE), 1)</f>
        <v>0.17025952768736197</v>
      </c>
      <c r="V8" s="7">
        <f>$B8 * IFERROR(VLOOKUP("industry|PM25|Asthma symptoms wheeze", US_national_yearly!$D:$AM, 30, FALSE) / VLOOKUP("industry|PM25|Asthma symptoms wheeze", US_national_yearly!$D:$AM, 10, FALSE), 1)</f>
        <v>0.17025952768736197</v>
      </c>
      <c r="W8" s="7">
        <f>$B8 * IFERROR(VLOOKUP("industry|PM25|Asthma symptoms wheeze", US_national_yearly!$D:$AM, 31, FALSE) / VLOOKUP("industry|PM25|Asthma symptoms wheeze", US_national_yearly!$D:$AM, 10, FALSE), 1)</f>
        <v>0.17025952768736197</v>
      </c>
      <c r="X8" s="7">
        <f>$B8 * IFERROR(VLOOKUP("industry|PM25|Asthma symptoms wheeze", US_national_yearly!$D:$AM, 32, FALSE) / VLOOKUP("industry|PM25|Asthma symptoms wheeze", US_national_yearly!$D:$AM, 10, FALSE), 1)</f>
        <v>0.17025952768736197</v>
      </c>
      <c r="Y8" s="7">
        <f>$B8 * IFERROR(VLOOKUP("industry|PM25|Asthma symptoms wheeze", US_national_yearly!$D:$AM, 33, FALSE) / VLOOKUP("industry|PM25|Asthma symptoms wheeze", US_national_yearly!$D:$AM, 10, FALSE), 1)</f>
        <v>0.17025952768736197</v>
      </c>
      <c r="Z8" s="7">
        <f>$B8 * IFERROR(VLOOKUP("industry|PM25|Asthma symptoms wheeze", US_national_yearly!$D:$AM, 34, FALSE) / VLOOKUP("industry|PM25|Asthma symptoms wheeze", US_national_yearly!$D:$AM, 10, FALSE), 1)</f>
        <v>0.17025952768736197</v>
      </c>
      <c r="AA8" s="7">
        <f>$B8 * IFERROR(VLOOKUP("industry|PM25|Asthma symptoms wheeze", US_national_yearly!$D:$AM, 35, FALSE) / VLOOKUP("industry|PM25|Asthma symptoms wheeze", US_national_yearly!$D:$AM, 10, FALSE), 1)</f>
        <v>0.17025952768736197</v>
      </c>
      <c r="AB8" s="7">
        <f>$B8 * IFERROR(VLOOKUP("industry|PM25|Asthma symptoms wheeze", US_national_yearly!$D:$AM, 36, FALSE) / VLOOKUP("industry|PM25|Asthma symptoms wheeze", US_national_yearly!$D:$AM, 10, FALSE), 1)</f>
        <v>0.17025952768736197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2.3171745385567539E-3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2.3303304445074467E-3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2.34348635045814E-3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2.3566422564088329E-3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2.3697981623595266E-3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2.3840221781824154E-3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2.3982461940053046E-3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2.4117394624862507E-3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2.4252327309671963E-3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2.438725999448142E-3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2.4522192679290876E-3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2.4657125364100337E-3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2.4752559472280369E-3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2.4847993580460396E-3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2.4943427688640433E-3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2.503886179682046E-3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2.5134295905000496E-3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2.5224307141518657E-3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2.5314318378036817E-3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2.5404329614554986E-3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2.5494340851073146E-3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2.558435208759131E-3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2.5671019821962753E-3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2.5757687556334195E-3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2.5844355290705642E-3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2.5931023025077093E-3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2.6017690759448536E-3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1.4429175576277806E-2</v>
      </c>
      <c r="C13" s="7">
        <f>$B13 * IFERROR(VLOOKUP("industry|PM25|Non-fatal heart attacks", US_national_yearly!$D:$AM, 11, FALSE) / VLOOKUP("industry|PM25|Non-fatal heart attacks", US_national_yearly!$D:$AM, 10, FALSE), 1)</f>
        <v>1.4849212660718399E-2</v>
      </c>
      <c r="D13" s="7">
        <f>$B13 * IFERROR(VLOOKUP("industry|PM25|Non-fatal heart attacks", US_national_yearly!$D:$AM, 12, FALSE) / VLOOKUP("industry|PM25|Non-fatal heart attacks", US_national_yearly!$D:$AM, 10, FALSE), 1)</f>
        <v>1.5269249745158987E-2</v>
      </c>
      <c r="E13" s="7">
        <f>$B13 * IFERROR(VLOOKUP("industry|PM25|Non-fatal heart attacks", US_national_yearly!$D:$AM, 13, FALSE) / VLOOKUP("industry|PM25|Non-fatal heart attacks", US_national_yearly!$D:$AM, 10, FALSE), 1)</f>
        <v>1.568928682959958E-2</v>
      </c>
      <c r="F13" s="7">
        <f>$B13 * IFERROR(VLOOKUP("industry|PM25|Non-fatal heart attacks", US_national_yearly!$D:$AM, 14, FALSE) / VLOOKUP("industry|PM25|Non-fatal heart attacks", US_national_yearly!$D:$AM, 10, FALSE), 1)</f>
        <v>1.6109323914040172E-2</v>
      </c>
      <c r="G13" s="7">
        <f>$B13 * IFERROR(VLOOKUP("industry|PM25|Non-fatal heart attacks", US_national_yearly!$D:$AM, 15, FALSE) / VLOOKUP("industry|PM25|Non-fatal heart attacks", US_national_yearly!$D:$AM, 10, FALSE), 1)</f>
        <v>1.65058684559155E-2</v>
      </c>
      <c r="H13" s="7">
        <f>$B13 * IFERROR(VLOOKUP("industry|PM25|Non-fatal heart attacks", US_national_yearly!$D:$AM, 16, FALSE) / VLOOKUP("industry|PM25|Non-fatal heart attacks", US_national_yearly!$D:$AM, 10, FALSE), 1)</f>
        <v>1.6902412997790835E-2</v>
      </c>
      <c r="I13" s="7">
        <f>$B13 * IFERROR(VLOOKUP("industry|PM25|Non-fatal heart attacks", US_national_yearly!$D:$AM, 17, FALSE) / VLOOKUP("industry|PM25|Non-fatal heart attacks", US_national_yearly!$D:$AM, 10, FALSE), 1)</f>
        <v>1.7222626377536146E-2</v>
      </c>
      <c r="J13" s="7">
        <f>$B13 * IFERROR(VLOOKUP("industry|PM25|Non-fatal heart attacks", US_national_yearly!$D:$AM, 18, FALSE) / VLOOKUP("industry|PM25|Non-fatal heart attacks", US_national_yearly!$D:$AM, 10, FALSE), 1)</f>
        <v>1.7542839757281457E-2</v>
      </c>
      <c r="K13" s="7">
        <f>$B13 * IFERROR(VLOOKUP("industry|PM25|Non-fatal heart attacks", US_national_yearly!$D:$AM, 19, FALSE) / VLOOKUP("industry|PM25|Non-fatal heart attacks", US_national_yearly!$D:$AM, 10, FALSE), 1)</f>
        <v>1.7863053137026769E-2</v>
      </c>
      <c r="L13" s="7">
        <f>$B13 * IFERROR(VLOOKUP("industry|PM25|Non-fatal heart attacks", US_national_yearly!$D:$AM, 20, FALSE) / VLOOKUP("industry|PM25|Non-fatal heart attacks", US_national_yearly!$D:$AM, 10, FALSE), 1)</f>
        <v>1.818326651677208E-2</v>
      </c>
      <c r="M13" s="7">
        <f>$B13 * IFERROR(VLOOKUP("industry|PM25|Non-fatal heart attacks", US_national_yearly!$D:$AM, 21, FALSE) / VLOOKUP("industry|PM25|Non-fatal heart attacks", US_national_yearly!$D:$AM, 10, FALSE), 1)</f>
        <v>1.8503479896517391E-2</v>
      </c>
      <c r="N13" s="7">
        <f>$B13 * IFERROR(VLOOKUP("industry|PM25|Non-fatal heart attacks", US_national_yearly!$D:$AM, 22, FALSE) / VLOOKUP("industry|PM25|Non-fatal heart attacks", US_national_yearly!$D:$AM, 10, FALSE), 1)</f>
        <v>1.8710515679502385E-2</v>
      </c>
      <c r="O13" s="7">
        <f>$B13 * IFERROR(VLOOKUP("industry|PM25|Non-fatal heart attacks", US_national_yearly!$D:$AM, 23, FALSE) / VLOOKUP("industry|PM25|Non-fatal heart attacks", US_national_yearly!$D:$AM, 10, FALSE), 1)</f>
        <v>1.8917551462487376E-2</v>
      </c>
      <c r="P13" s="7">
        <f>$B13 * IFERROR(VLOOKUP("industry|PM25|Non-fatal heart attacks", US_national_yearly!$D:$AM, 24, FALSE) / VLOOKUP("industry|PM25|Non-fatal heart attacks", US_national_yearly!$D:$AM, 10, FALSE), 1)</f>
        <v>1.912458724547237E-2</v>
      </c>
      <c r="Q13" s="7">
        <f>$B13 * IFERROR(VLOOKUP("industry|PM25|Non-fatal heart attacks", US_national_yearly!$D:$AM, 25, FALSE) / VLOOKUP("industry|PM25|Non-fatal heart attacks", US_national_yearly!$D:$AM, 10, FALSE), 1)</f>
        <v>1.9331623028457357E-2</v>
      </c>
      <c r="R13" s="7">
        <f>$B13 * IFERROR(VLOOKUP("industry|PM25|Non-fatal heart attacks", US_national_yearly!$D:$AM, 26, FALSE) / VLOOKUP("industry|PM25|Non-fatal heart attacks", US_national_yearly!$D:$AM, 10, FALSE), 1)</f>
        <v>1.9538658811442351E-2</v>
      </c>
      <c r="S13" s="7">
        <f>$B13 * IFERROR(VLOOKUP("industry|PM25|Non-fatal heart attacks", US_national_yearly!$D:$AM, 27, FALSE) / VLOOKUP("industry|PM25|Non-fatal heart attacks", US_national_yearly!$D:$AM, 10, FALSE), 1)</f>
        <v>1.9649237407727636E-2</v>
      </c>
      <c r="T13" s="7">
        <f>$B13 * IFERROR(VLOOKUP("industry|PM25|Non-fatal heart attacks", US_national_yearly!$D:$AM, 28, FALSE) / VLOOKUP("industry|PM25|Non-fatal heart attacks", US_national_yearly!$D:$AM, 10, FALSE), 1)</f>
        <v>1.9759816004012932E-2</v>
      </c>
      <c r="U13" s="7">
        <f>$B13 * IFERROR(VLOOKUP("industry|PM25|Non-fatal heart attacks", US_national_yearly!$D:$AM, 29, FALSE) / VLOOKUP("industry|PM25|Non-fatal heart attacks", US_national_yearly!$D:$AM, 10, FALSE), 1)</f>
        <v>1.9870394600298224E-2</v>
      </c>
      <c r="V13" s="7">
        <f>$B13 * IFERROR(VLOOKUP("industry|PM25|Non-fatal heart attacks", US_national_yearly!$D:$AM, 30, FALSE) / VLOOKUP("industry|PM25|Non-fatal heart attacks", US_national_yearly!$D:$AM, 10, FALSE), 1)</f>
        <v>1.9980973196583512E-2</v>
      </c>
      <c r="W13" s="7">
        <f>$B13 * IFERROR(VLOOKUP("industry|PM25|Non-fatal heart attacks", US_national_yearly!$D:$AM, 31, FALSE) / VLOOKUP("industry|PM25|Non-fatal heart attacks", US_national_yearly!$D:$AM, 10, FALSE), 1)</f>
        <v>2.0091551792868804E-2</v>
      </c>
      <c r="X13" s="7">
        <f>$B13 * IFERROR(VLOOKUP("industry|PM25|Non-fatal heart attacks", US_national_yearly!$D:$AM, 32, FALSE) / VLOOKUP("industry|PM25|Non-fatal heart attacks", US_national_yearly!$D:$AM, 10, FALSE), 1)</f>
        <v>2.0176895639897236E-2</v>
      </c>
      <c r="Y13" s="7">
        <f>$B13 * IFERROR(VLOOKUP("industry|PM25|Non-fatal heart attacks", US_national_yearly!$D:$AM, 33, FALSE) / VLOOKUP("industry|PM25|Non-fatal heart attacks", US_national_yearly!$D:$AM, 10, FALSE), 1)</f>
        <v>2.0262239486925668E-2</v>
      </c>
      <c r="Z13" s="7">
        <f>$B13 * IFERROR(VLOOKUP("industry|PM25|Non-fatal heart attacks", US_national_yearly!$D:$AM, 34, FALSE) / VLOOKUP("industry|PM25|Non-fatal heart attacks", US_national_yearly!$D:$AM, 10, FALSE), 1)</f>
        <v>2.0347583333954099E-2</v>
      </c>
      <c r="AA13" s="7">
        <f>$B13 * IFERROR(VLOOKUP("industry|PM25|Non-fatal heart attacks", US_national_yearly!$D:$AM, 35, FALSE) / VLOOKUP("industry|PM25|Non-fatal heart attacks", US_national_yearly!$D:$AM, 10, FALSE), 1)</f>
        <v>2.0432927180982531E-2</v>
      </c>
      <c r="AB13" s="7">
        <f>$B13 * IFERROR(VLOOKUP("industry|PM25|Non-fatal heart attacks", US_national_yearly!$D:$AM, 36, FALSE) / VLOOKUP("industry|PM25|Non-fatal heart attacks", US_national_yearly!$D:$AM, 10, FALSE), 1)</f>
        <v>2.0518271028010966E-2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10.338690450071104</v>
      </c>
      <c r="C14" s="7">
        <f>$B14 * IFERROR(VLOOKUP("industry|PM25|Minor restricted activity days", US_national_yearly!$D:$AM, 11, FALSE) / VLOOKUP("industry|PM25|Minor restricted activity days", US_national_yearly!$D:$AM, 10, FALSE), 1)</f>
        <v>10.364011616681056</v>
      </c>
      <c r="D14" s="7">
        <f>$B14 * IFERROR(VLOOKUP("industry|PM25|Minor restricted activity days", US_national_yearly!$D:$AM, 12, FALSE) / VLOOKUP("industry|PM25|Minor restricted activity days", US_national_yearly!$D:$AM, 10, FALSE), 1)</f>
        <v>10.389332783291012</v>
      </c>
      <c r="E14" s="7">
        <f>$B14 * IFERROR(VLOOKUP("industry|PM25|Minor restricted activity days", US_national_yearly!$D:$AM, 13, FALSE) / VLOOKUP("industry|PM25|Minor restricted activity days", US_national_yearly!$D:$AM, 10, FALSE), 1)</f>
        <v>10.414653949900964</v>
      </c>
      <c r="F14" s="7">
        <f>$B14 * IFERROR(VLOOKUP("industry|PM25|Minor restricted activity days", US_national_yearly!$D:$AM, 14, FALSE) / VLOOKUP("industry|PM25|Minor restricted activity days", US_national_yearly!$D:$AM, 10, FALSE), 1)</f>
        <v>10.439975116510917</v>
      </c>
      <c r="G14" s="7">
        <f>$B14 * IFERROR(VLOOKUP("industry|PM25|Minor restricted activity days", US_national_yearly!$D:$AM, 15, FALSE) / VLOOKUP("industry|PM25|Minor restricted activity days", US_national_yearly!$D:$AM, 10, FALSE), 1)</f>
        <v>10.477142473678827</v>
      </c>
      <c r="H14" s="7">
        <f>$B14 * IFERROR(VLOOKUP("industry|PM25|Minor restricted activity days", US_national_yearly!$D:$AM, 16, FALSE) / VLOOKUP("industry|PM25|Minor restricted activity days", US_national_yearly!$D:$AM, 10, FALSE), 1)</f>
        <v>10.514309830846733</v>
      </c>
      <c r="I14" s="7">
        <f>$B14 * IFERROR(VLOOKUP("industry|PM25|Minor restricted activity days", US_national_yearly!$D:$AM, 17, FALSE) / VLOOKUP("industry|PM25|Minor restricted activity days", US_national_yearly!$D:$AM, 10, FALSE), 1)</f>
        <v>10.577447613928644</v>
      </c>
      <c r="J14" s="7">
        <f>$B14 * IFERROR(VLOOKUP("industry|PM25|Minor restricted activity days", US_national_yearly!$D:$AM, 18, FALSE) / VLOOKUP("industry|PM25|Minor restricted activity days", US_national_yearly!$D:$AM, 10, FALSE), 1)</f>
        <v>10.640585397010558</v>
      </c>
      <c r="K14" s="7">
        <f>$B14 * IFERROR(VLOOKUP("industry|PM25|Minor restricted activity days", US_national_yearly!$D:$AM, 19, FALSE) / VLOOKUP("industry|PM25|Minor restricted activity days", US_national_yearly!$D:$AM, 10, FALSE), 1)</f>
        <v>10.703723180092467</v>
      </c>
      <c r="L14" s="7">
        <f>$B14 * IFERROR(VLOOKUP("industry|PM25|Minor restricted activity days", US_national_yearly!$D:$AM, 20, FALSE) / VLOOKUP("industry|PM25|Minor restricted activity days", US_national_yearly!$D:$AM, 10, FALSE), 1)</f>
        <v>10.766860963174379</v>
      </c>
      <c r="M14" s="7">
        <f>$B14 * IFERROR(VLOOKUP("industry|PM25|Minor restricted activity days", US_national_yearly!$D:$AM, 21, FALSE) / VLOOKUP("industry|PM25|Minor restricted activity days", US_national_yearly!$D:$AM, 10, FALSE), 1)</f>
        <v>10.82999874625629</v>
      </c>
      <c r="N14" s="7">
        <f>$B14 * IFERROR(VLOOKUP("industry|PM25|Minor restricted activity days", US_national_yearly!$D:$AM, 22, FALSE) / VLOOKUP("industry|PM25|Minor restricted activity days", US_national_yearly!$D:$AM, 10, FALSE), 1)</f>
        <v>10.916251192229611</v>
      </c>
      <c r="O14" s="7">
        <f>$B14 * IFERROR(VLOOKUP("industry|PM25|Minor restricted activity days", US_national_yearly!$D:$AM, 23, FALSE) / VLOOKUP("industry|PM25|Minor restricted activity days", US_national_yearly!$D:$AM, 10, FALSE), 1)</f>
        <v>11.002503638202942</v>
      </c>
      <c r="P14" s="7">
        <f>$B14 * IFERROR(VLOOKUP("industry|PM25|Minor restricted activity days", US_national_yearly!$D:$AM, 24, FALSE) / VLOOKUP("industry|PM25|Minor restricted activity days", US_national_yearly!$D:$AM, 10, FALSE), 1)</f>
        <v>11.088756084176262</v>
      </c>
      <c r="Q14" s="7">
        <f>$B14 * IFERROR(VLOOKUP("industry|PM25|Minor restricted activity days", US_national_yearly!$D:$AM, 25, FALSE) / VLOOKUP("industry|PM25|Minor restricted activity days", US_national_yearly!$D:$AM, 10, FALSE), 1)</f>
        <v>11.175008530149595</v>
      </c>
      <c r="R14" s="7">
        <f>$B14 * IFERROR(VLOOKUP("industry|PM25|Minor restricted activity days", US_national_yearly!$D:$AM, 26, FALSE) / VLOOKUP("industry|PM25|Minor restricted activity days", US_national_yearly!$D:$AM, 10, FALSE), 1)</f>
        <v>11.261260976122918</v>
      </c>
      <c r="S14" s="7">
        <f>$B14 * IFERROR(VLOOKUP("industry|PM25|Minor restricted activity days", US_national_yearly!$D:$AM, 27, FALSE) / VLOOKUP("industry|PM25|Minor restricted activity days", US_national_yearly!$D:$AM, 10, FALSE), 1)</f>
        <v>11.348341479310658</v>
      </c>
      <c r="T14" s="7">
        <f>$B14 * IFERROR(VLOOKUP("industry|PM25|Minor restricted activity days", US_national_yearly!$D:$AM, 28, FALSE) / VLOOKUP("industry|PM25|Minor restricted activity days", US_national_yearly!$D:$AM, 10, FALSE), 1)</f>
        <v>11.435421982498401</v>
      </c>
      <c r="U14" s="7">
        <f>$B14 * IFERROR(VLOOKUP("industry|PM25|Minor restricted activity days", US_national_yearly!$D:$AM, 29, FALSE) / VLOOKUP("industry|PM25|Minor restricted activity days", US_national_yearly!$D:$AM, 10, FALSE), 1)</f>
        <v>11.522502485686141</v>
      </c>
      <c r="V14" s="7">
        <f>$B14 * IFERROR(VLOOKUP("industry|PM25|Minor restricted activity days", US_national_yearly!$D:$AM, 30, FALSE) / VLOOKUP("industry|PM25|Minor restricted activity days", US_national_yearly!$D:$AM, 10, FALSE), 1)</f>
        <v>11.609582988873882</v>
      </c>
      <c r="W14" s="7">
        <f>$B14 * IFERROR(VLOOKUP("industry|PM25|Minor restricted activity days", US_national_yearly!$D:$AM, 31, FALSE) / VLOOKUP("industry|PM25|Minor restricted activity days", US_national_yearly!$D:$AM, 10, FALSE), 1)</f>
        <v>11.696663492061626</v>
      </c>
      <c r="X14" s="7">
        <f>$B14 * IFERROR(VLOOKUP("industry|PM25|Minor restricted activity days", US_national_yearly!$D:$AM, 32, FALSE) / VLOOKUP("industry|PM25|Minor restricted activity days", US_national_yearly!$D:$AM, 10, FALSE), 1)</f>
        <v>11.772333260184313</v>
      </c>
      <c r="Y14" s="7">
        <f>$B14 * IFERROR(VLOOKUP("industry|PM25|Minor restricted activity days", US_national_yearly!$D:$AM, 33, FALSE) / VLOOKUP("industry|PM25|Minor restricted activity days", US_national_yearly!$D:$AM, 10, FALSE), 1)</f>
        <v>11.848003028307003</v>
      </c>
      <c r="Z14" s="7">
        <f>$B14 * IFERROR(VLOOKUP("industry|PM25|Minor restricted activity days", US_national_yearly!$D:$AM, 34, FALSE) / VLOOKUP("industry|PM25|Minor restricted activity days", US_national_yearly!$D:$AM, 10, FALSE), 1)</f>
        <v>11.923672796429694</v>
      </c>
      <c r="AA14" s="7">
        <f>$B14 * IFERROR(VLOOKUP("industry|PM25|Minor restricted activity days", US_national_yearly!$D:$AM, 35, FALSE) / VLOOKUP("industry|PM25|Minor restricted activity days", US_national_yearly!$D:$AM, 10, FALSE), 1)</f>
        <v>11.999342564552382</v>
      </c>
      <c r="AB14" s="7">
        <f>$B14 * IFERROR(VLOOKUP("industry|PM25|Minor restricted activity days", US_national_yearly!$D:$AM, 36, FALSE) / VLOOKUP("industry|PM25|Minor restricted activity days", US_national_yearly!$D:$AM, 10, FALSE), 1)</f>
        <v>12.075012332675072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1.7447364060284545</v>
      </c>
      <c r="C15" s="7">
        <f>$B15 * IFERROR(VLOOKUP("industry|PM25|Work loss days", US_national_yearly!$D:$AM, 11, FALSE) / VLOOKUP("industry|PM25|Work loss days", US_national_yearly!$D:$AM, 10, FALSE), 1)</f>
        <v>1.7501457893979648</v>
      </c>
      <c r="D15" s="7">
        <f>$B15 * IFERROR(VLOOKUP("industry|PM25|Work loss days", US_national_yearly!$D:$AM, 12, FALSE) / VLOOKUP("industry|PM25|Work loss days", US_national_yearly!$D:$AM, 10, FALSE), 1)</f>
        <v>1.7555551727674752</v>
      </c>
      <c r="E15" s="7">
        <f>$B15 * IFERROR(VLOOKUP("industry|PM25|Work loss days", US_national_yearly!$D:$AM, 13, FALSE) / VLOOKUP("industry|PM25|Work loss days", US_national_yearly!$D:$AM, 10, FALSE), 1)</f>
        <v>1.7609645561369851</v>
      </c>
      <c r="F15" s="7">
        <f>$B15 * IFERROR(VLOOKUP("industry|PM25|Work loss days", US_national_yearly!$D:$AM, 14, FALSE) / VLOOKUP("industry|PM25|Work loss days", US_national_yearly!$D:$AM, 10, FALSE), 1)</f>
        <v>1.7663739395064955</v>
      </c>
      <c r="G15" s="7">
        <f>$B15 * IFERROR(VLOOKUP("industry|PM25|Work loss days", US_national_yearly!$D:$AM, 15, FALSE) / VLOOKUP("industry|PM25|Work loss days", US_national_yearly!$D:$AM, 10, FALSE), 1)</f>
        <v>1.7734361263443863</v>
      </c>
      <c r="H15" s="7">
        <f>$B15 * IFERROR(VLOOKUP("industry|PM25|Work loss days", US_national_yearly!$D:$AM, 16, FALSE) / VLOOKUP("industry|PM25|Work loss days", US_national_yearly!$D:$AM, 10, FALSE), 1)</f>
        <v>1.7804983131822771</v>
      </c>
      <c r="I15" s="7">
        <f>$B15 * IFERROR(VLOOKUP("industry|PM25|Work loss days", US_national_yearly!$D:$AM, 17, FALSE) / VLOOKUP("industry|PM25|Work loss days", US_national_yearly!$D:$AM, 10, FALSE), 1)</f>
        <v>1.7908396023514903</v>
      </c>
      <c r="J15" s="7">
        <f>$B15 * IFERROR(VLOOKUP("industry|PM25|Work loss days", US_national_yearly!$D:$AM, 18, FALSE) / VLOOKUP("industry|PM25|Work loss days", US_national_yearly!$D:$AM, 10, FALSE), 1)</f>
        <v>1.8011808915207037</v>
      </c>
      <c r="K15" s="7">
        <f>$B15 * IFERROR(VLOOKUP("industry|PM25|Work loss days", US_national_yearly!$D:$AM, 19, FALSE) / VLOOKUP("industry|PM25|Work loss days", US_national_yearly!$D:$AM, 10, FALSE), 1)</f>
        <v>1.8115221806899167</v>
      </c>
      <c r="L15" s="7">
        <f>$B15 * IFERROR(VLOOKUP("industry|PM25|Work loss days", US_national_yearly!$D:$AM, 20, FALSE) / VLOOKUP("industry|PM25|Work loss days", US_national_yearly!$D:$AM, 10, FALSE), 1)</f>
        <v>1.8218634698591298</v>
      </c>
      <c r="M15" s="7">
        <f>$B15 * IFERROR(VLOOKUP("industry|PM25|Work loss days", US_national_yearly!$D:$AM, 21, FALSE) / VLOOKUP("industry|PM25|Work loss days", US_national_yearly!$D:$AM, 10, FALSE), 1)</f>
        <v>1.832204759028343</v>
      </c>
      <c r="N15" s="7">
        <f>$B15 * IFERROR(VLOOKUP("industry|PM25|Work loss days", US_national_yearly!$D:$AM, 22, FALSE) / VLOOKUP("industry|PM25|Work loss days", US_national_yearly!$D:$AM, 10, FALSE), 1)</f>
        <v>1.8452541085841343</v>
      </c>
      <c r="O15" s="7">
        <f>$B15 * IFERROR(VLOOKUP("industry|PM25|Work loss days", US_national_yearly!$D:$AM, 23, FALSE) / VLOOKUP("industry|PM25|Work loss days", US_national_yearly!$D:$AM, 10, FALSE), 1)</f>
        <v>1.8583034581399254</v>
      </c>
      <c r="P15" s="7">
        <f>$B15 * IFERROR(VLOOKUP("industry|PM25|Work loss days", US_national_yearly!$D:$AM, 24, FALSE) / VLOOKUP("industry|PM25|Work loss days", US_national_yearly!$D:$AM, 10, FALSE), 1)</f>
        <v>1.8713528076957162</v>
      </c>
      <c r="Q15" s="7">
        <f>$B15 * IFERROR(VLOOKUP("industry|PM25|Work loss days", US_national_yearly!$D:$AM, 25, FALSE) / VLOOKUP("industry|PM25|Work loss days", US_national_yearly!$D:$AM, 10, FALSE), 1)</f>
        <v>1.8844021572515073</v>
      </c>
      <c r="R15" s="7">
        <f>$B15 * IFERROR(VLOOKUP("industry|PM25|Work loss days", US_national_yearly!$D:$AM, 26, FALSE) / VLOOKUP("industry|PM25|Work loss days", US_national_yearly!$D:$AM, 10, FALSE), 1)</f>
        <v>1.8974515068072981</v>
      </c>
      <c r="S15" s="7">
        <f>$B15 * IFERROR(VLOOKUP("industry|PM25|Work loss days", US_national_yearly!$D:$AM, 27, FALSE) / VLOOKUP("industry|PM25|Work loss days", US_national_yearly!$D:$AM, 10, FALSE), 1)</f>
        <v>1.9119213854782782</v>
      </c>
      <c r="T15" s="7">
        <f>$B15 * IFERROR(VLOOKUP("industry|PM25|Work loss days", US_national_yearly!$D:$AM, 28, FALSE) / VLOOKUP("industry|PM25|Work loss days", US_national_yearly!$D:$AM, 10, FALSE), 1)</f>
        <v>1.926391264149258</v>
      </c>
      <c r="U15" s="7">
        <f>$B15 * IFERROR(VLOOKUP("industry|PM25|Work loss days", US_national_yearly!$D:$AM, 29, FALSE) / VLOOKUP("industry|PM25|Work loss days", US_national_yearly!$D:$AM, 10, FALSE), 1)</f>
        <v>1.9408611428202376</v>
      </c>
      <c r="V15" s="7">
        <f>$B15 * IFERROR(VLOOKUP("industry|PM25|Work loss days", US_national_yearly!$D:$AM, 30, FALSE) / VLOOKUP("industry|PM25|Work loss days", US_national_yearly!$D:$AM, 10, FALSE), 1)</f>
        <v>1.9553310214912174</v>
      </c>
      <c r="W15" s="7">
        <f>$B15 * IFERROR(VLOOKUP("industry|PM25|Work loss days", US_national_yearly!$D:$AM, 31, FALSE) / VLOOKUP("industry|PM25|Work loss days", US_national_yearly!$D:$AM, 10, FALSE), 1)</f>
        <v>1.9698009001621974</v>
      </c>
      <c r="X15" s="7">
        <f>$B15 * IFERROR(VLOOKUP("industry|PM25|Work loss days", US_national_yearly!$D:$AM, 32, FALSE) / VLOOKUP("industry|PM25|Work loss days", US_national_yearly!$D:$AM, 10, FALSE), 1)</f>
        <v>1.9826592900062683</v>
      </c>
      <c r="Y15" s="7">
        <f>$B15 * IFERROR(VLOOKUP("industry|PM25|Work loss days", US_national_yearly!$D:$AM, 33, FALSE) / VLOOKUP("industry|PM25|Work loss days", US_national_yearly!$D:$AM, 10, FALSE), 1)</f>
        <v>1.9955176798503393</v>
      </c>
      <c r="Z15" s="7">
        <f>$B15 * IFERROR(VLOOKUP("industry|PM25|Work loss days", US_national_yearly!$D:$AM, 34, FALSE) / VLOOKUP("industry|PM25|Work loss days", US_national_yearly!$D:$AM, 10, FALSE), 1)</f>
        <v>2.0083760696944104</v>
      </c>
      <c r="AA15" s="7">
        <f>$B15 * IFERROR(VLOOKUP("industry|PM25|Work loss days", US_national_yearly!$D:$AM, 35, FALSE) / VLOOKUP("industry|PM25|Work loss days", US_national_yearly!$D:$AM, 10, FALSE), 1)</f>
        <v>2.0212344595384812</v>
      </c>
      <c r="AB15" s="7">
        <f>$B15 * IFERROR(VLOOKUP("industry|PM25|Work loss days", US_national_yearly!$D:$AM, 36, FALSE) / VLOOKUP("industry|PM25|Work loss days", US_national_yearly!$D:$AM, 10, FALSE), 1)</f>
        <v>2.0340928493825521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3.294698678722406E-3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3.3932452285018884E-3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3.4917917782813709E-3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3.5903383280608534E-3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3.6888848778403355E-3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3.7833346426954018E-3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3.8777844075504678E-3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3.9588778077254173E-3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4.039971207900366E-3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4.1210646080753165E-3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4.202158008250266E-3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4.2832514084252156E-3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4.3374221054761873E-3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4.3915928025271564E-3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4.4457634995781273E-3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4.4999341966290981E-3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4.5541048936800681E-3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4.5831282394912954E-3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4.6121515853025218E-3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4.6411749311137491E-3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4.6701982769249747E-3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4.6992216227362011E-3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4.7191517962968769E-3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4.7390819698575502E-3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4.7590121434182252E-3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4.7789423169788993E-3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4.7988724905395743E-3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8.4184370692287809E-4</v>
      </c>
      <c r="C2" s="7">
        <f>$B2 * IFERROR(VLOOKUP("industry|NOx|Premature mortality", US_national_yearly!$D:$AM, 11, FALSE) / VLOOKUP("industry|NOx|Premature mortality", US_national_yearly!$D:$AM, 10, FALSE), 1)</f>
        <v>8.5429182885129291E-4</v>
      </c>
      <c r="D2" s="7">
        <f>$B2 * IFERROR(VLOOKUP("industry|NOx|Premature mortality", US_national_yearly!$D:$AM, 12, FALSE) / VLOOKUP("industry|NOx|Premature mortality", US_national_yearly!$D:$AM, 10, FALSE), 1)</f>
        <v>8.6673995077970795E-4</v>
      </c>
      <c r="E2" s="7">
        <f>$B2 * IFERROR(VLOOKUP("industry|NOx|Premature mortality", US_national_yearly!$D:$AM, 13, FALSE) / VLOOKUP("industry|NOx|Premature mortality", US_national_yearly!$D:$AM, 10, FALSE), 1)</f>
        <v>8.7918807270812277E-4</v>
      </c>
      <c r="F2" s="7">
        <f>$B2 * IFERROR(VLOOKUP("industry|NOx|Premature mortality", US_national_yearly!$D:$AM, 14, FALSE) / VLOOKUP("industry|NOx|Premature mortality", US_national_yearly!$D:$AM, 10, FALSE), 1)</f>
        <v>8.916361946365378E-4</v>
      </c>
      <c r="G2" s="7">
        <f>$B2 * IFERROR(VLOOKUP("industry|NOx|Premature mortality", US_national_yearly!$D:$AM, 15, FALSE) / VLOOKUP("industry|NOx|Premature mortality", US_national_yearly!$D:$AM, 10, FALSE), 1)</f>
        <v>9.1396033885789304E-4</v>
      </c>
      <c r="H2" s="7">
        <f>$B2 * IFERROR(VLOOKUP("industry|NOx|Premature mortality", US_national_yearly!$D:$AM, 16, FALSE) / VLOOKUP("industry|NOx|Premature mortality", US_national_yearly!$D:$AM, 10, FALSE), 1)</f>
        <v>9.3628448307924827E-4</v>
      </c>
      <c r="I2" s="7">
        <f>$B2 * IFERROR(VLOOKUP("industry|NOx|Premature mortality", US_national_yearly!$D:$AM, 17, FALSE) / VLOOKUP("industry|NOx|Premature mortality", US_national_yearly!$D:$AM, 10, FALSE), 1)</f>
        <v>9.5076690660911279E-4</v>
      </c>
      <c r="J2" s="7">
        <f>$B2 * IFERROR(VLOOKUP("industry|NOx|Premature mortality", US_national_yearly!$D:$AM, 18, FALSE) / VLOOKUP("industry|NOx|Premature mortality", US_national_yearly!$D:$AM, 10, FALSE), 1)</f>
        <v>9.652493301389773E-4</v>
      </c>
      <c r="K2" s="7">
        <f>$B2 * IFERROR(VLOOKUP("industry|NOx|Premature mortality", US_national_yearly!$D:$AM, 19, FALSE) / VLOOKUP("industry|NOx|Premature mortality", US_national_yearly!$D:$AM, 10, FALSE), 1)</f>
        <v>9.7973175366884214E-4</v>
      </c>
      <c r="L2" s="7">
        <f>$B2 * IFERROR(VLOOKUP("industry|NOx|Premature mortality", US_national_yearly!$D:$AM, 20, FALSE) / VLOOKUP("industry|NOx|Premature mortality", US_national_yearly!$D:$AM, 10, FALSE), 1)</f>
        <v>9.9421417719870665E-4</v>
      </c>
      <c r="M2" s="7">
        <f>$B2 * IFERROR(VLOOKUP("industry|NOx|Premature mortality", US_national_yearly!$D:$AM, 21, FALSE) / VLOOKUP("industry|NOx|Premature mortality", US_national_yearly!$D:$AM, 10, FALSE), 1)</f>
        <v>1.0086966007285712E-3</v>
      </c>
      <c r="N2" s="7">
        <f>$B2 * IFERROR(VLOOKUP("industry|NOx|Premature mortality", US_national_yearly!$D:$AM, 22, FALSE) / VLOOKUP("industry|NOx|Premature mortality", US_national_yearly!$D:$AM, 10, FALSE), 1)</f>
        <v>1.0194734136527101E-3</v>
      </c>
      <c r="O2" s="7">
        <f>$B2 * IFERROR(VLOOKUP("industry|NOx|Premature mortality", US_national_yearly!$D:$AM, 23, FALSE) / VLOOKUP("industry|NOx|Premature mortality", US_national_yearly!$D:$AM, 10, FALSE), 1)</f>
        <v>1.0302502265768488E-3</v>
      </c>
      <c r="P2" s="7">
        <f>$B2 * IFERROR(VLOOKUP("industry|NOx|Premature mortality", US_national_yearly!$D:$AM, 24, FALSE) / VLOOKUP("industry|NOx|Premature mortality", US_national_yearly!$D:$AM, 10, FALSE), 1)</f>
        <v>1.0410270395009873E-3</v>
      </c>
      <c r="Q2" s="7">
        <f>$B2 * IFERROR(VLOOKUP("industry|NOx|Premature mortality", US_national_yearly!$D:$AM, 25, FALSE) / VLOOKUP("industry|NOx|Premature mortality", US_national_yearly!$D:$AM, 10, FALSE), 1)</f>
        <v>1.051803852425126E-3</v>
      </c>
      <c r="R2" s="7">
        <f>$B2 * IFERROR(VLOOKUP("industry|NOx|Premature mortality", US_national_yearly!$D:$AM, 26, FALSE) / VLOOKUP("industry|NOx|Premature mortality", US_national_yearly!$D:$AM, 10, FALSE), 1)</f>
        <v>1.0625806653492647E-3</v>
      </c>
      <c r="S2" s="7">
        <f>$B2 * IFERROR(VLOOKUP("industry|NOx|Premature mortality", US_national_yearly!$D:$AM, 27, FALSE) / VLOOKUP("industry|NOx|Premature mortality", US_national_yearly!$D:$AM, 10, FALSE), 1)</f>
        <v>1.0675990000910357E-3</v>
      </c>
      <c r="T2" s="7">
        <f>$B2 * IFERROR(VLOOKUP("industry|NOx|Premature mortality", US_national_yearly!$D:$AM, 28, FALSE) / VLOOKUP("industry|NOx|Premature mortality", US_national_yearly!$D:$AM, 10, FALSE), 1)</f>
        <v>1.0726173348328068E-3</v>
      </c>
      <c r="U2" s="7">
        <f>$B2 * IFERROR(VLOOKUP("industry|NOx|Premature mortality", US_national_yearly!$D:$AM, 29, FALSE) / VLOOKUP("industry|NOx|Premature mortality", US_national_yearly!$D:$AM, 10, FALSE), 1)</f>
        <v>1.0776356695745776E-3</v>
      </c>
      <c r="V2" s="7">
        <f>$B2 * IFERROR(VLOOKUP("industry|NOx|Premature mortality", US_national_yearly!$D:$AM, 30, FALSE) / VLOOKUP("industry|NOx|Premature mortality", US_national_yearly!$D:$AM, 10, FALSE), 1)</f>
        <v>1.0826540043163487E-3</v>
      </c>
      <c r="W2" s="7">
        <f>$B2 * IFERROR(VLOOKUP("industry|NOx|Premature mortality", US_national_yearly!$D:$AM, 31, FALSE) / VLOOKUP("industry|NOx|Premature mortality", US_national_yearly!$D:$AM, 10, FALSE), 1)</f>
        <v>1.0876723390581195E-3</v>
      </c>
      <c r="X2" s="7">
        <f>$B2 * IFERROR(VLOOKUP("industry|NOx|Premature mortality", US_national_yearly!$D:$AM, 32, FALSE) / VLOOKUP("industry|NOx|Premature mortality", US_national_yearly!$D:$AM, 10, FALSE), 1)</f>
        <v>1.0880558562486047E-3</v>
      </c>
      <c r="Y2" s="7">
        <f>$B2 * IFERROR(VLOOKUP("industry|NOx|Premature mortality", US_national_yearly!$D:$AM, 33, FALSE) / VLOOKUP("industry|NOx|Premature mortality", US_national_yearly!$D:$AM, 10, FALSE), 1)</f>
        <v>1.0884393734390898E-3</v>
      </c>
      <c r="Z2" s="7">
        <f>$B2 * IFERROR(VLOOKUP("industry|NOx|Premature mortality", US_national_yearly!$D:$AM, 34, FALSE) / VLOOKUP("industry|NOx|Premature mortality", US_national_yearly!$D:$AM, 10, FALSE), 1)</f>
        <v>1.088822890629575E-3</v>
      </c>
      <c r="AA2" s="7">
        <f>$B2 * IFERROR(VLOOKUP("industry|NOx|Premature mortality", US_national_yearly!$D:$AM, 35, FALSE) / VLOOKUP("industry|NOx|Premature mortality", US_national_yearly!$D:$AM, 10, FALSE), 1)</f>
        <v>1.0892064078200602E-3</v>
      </c>
      <c r="AB2" s="7">
        <f>$B2 * IFERROR(VLOOKUP("industry|NOx|Premature mortality", US_national_yearly!$D:$AM, 36, FALSE) / VLOOKUP("industry|NOx|Premature mortality", US_national_yearly!$D:$AM, 10, FALSE), 1)</f>
        <v>1.0895899250105453E-3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2.1704854504340351E-6</v>
      </c>
      <c r="C3" s="7">
        <f>$B3 * IFERROR(VLOOKUP("industry|NOx|Infant mortality", US_national_yearly!$D:$AM, 11, FALSE) / VLOOKUP("industry|NOx|Infant mortality", US_national_yearly!$D:$AM, 10, FALSE), 1)</f>
        <v>2.1496990750098545E-6</v>
      </c>
      <c r="D3" s="7">
        <f>$B3 * IFERROR(VLOOKUP("industry|NOx|Infant mortality", US_national_yearly!$D:$AM, 12, FALSE) / VLOOKUP("industry|NOx|Infant mortality", US_national_yearly!$D:$AM, 10, FALSE), 1)</f>
        <v>2.1289126995856734E-6</v>
      </c>
      <c r="E3" s="7">
        <f>$B3 * IFERROR(VLOOKUP("industry|NOx|Infant mortality", US_national_yearly!$D:$AM, 13, FALSE) / VLOOKUP("industry|NOx|Infant mortality", US_national_yearly!$D:$AM, 10, FALSE), 1)</f>
        <v>2.1081263241614927E-6</v>
      </c>
      <c r="F3" s="7">
        <f>$B3 * IFERROR(VLOOKUP("industry|NOx|Infant mortality", US_national_yearly!$D:$AM, 14, FALSE) / VLOOKUP("industry|NOx|Infant mortality", US_national_yearly!$D:$AM, 10, FALSE), 1)</f>
        <v>2.0873399487373117E-6</v>
      </c>
      <c r="G3" s="7">
        <f>$B3 * IFERROR(VLOOKUP("industry|NOx|Infant mortality", US_national_yearly!$D:$AM, 15, FALSE) / VLOOKUP("industry|NOx|Infant mortality", US_national_yearly!$D:$AM, 10, FALSE), 1)</f>
        <v>1.3845080316882776E-6</v>
      </c>
      <c r="H3" s="7">
        <f>$B3 * IFERROR(VLOOKUP("industry|NOx|Infant mortality", US_national_yearly!$D:$AM, 16, FALSE) / VLOOKUP("industry|NOx|Infant mortality", US_national_yearly!$D:$AM, 10, FALSE), 1)</f>
        <v>6.8167611463924384E-7</v>
      </c>
      <c r="I3" s="7">
        <f>$B3 * IFERROR(VLOOKUP("industry|NOx|Infant mortality", US_national_yearly!$D:$AM, 17, FALSE) / VLOOKUP("industry|NOx|Infant mortality", US_national_yearly!$D:$AM, 10, FALSE), 1)</f>
        <v>6.7676152417524741E-7</v>
      </c>
      <c r="J3" s="7">
        <f>$B3 * IFERROR(VLOOKUP("industry|NOx|Infant mortality", US_national_yearly!$D:$AM, 18, FALSE) / VLOOKUP("industry|NOx|Infant mortality", US_national_yearly!$D:$AM, 10, FALSE), 1)</f>
        <v>6.718469337112512E-7</v>
      </c>
      <c r="K3" s="7">
        <f>$B3 * IFERROR(VLOOKUP("industry|NOx|Infant mortality", US_national_yearly!$D:$AM, 19, FALSE) / VLOOKUP("industry|NOx|Infant mortality", US_national_yearly!$D:$AM, 10, FALSE), 1)</f>
        <v>6.6693234324725477E-7</v>
      </c>
      <c r="L3" s="7">
        <f>$B3 * IFERROR(VLOOKUP("industry|NOx|Infant mortality", US_national_yearly!$D:$AM, 20, FALSE) / VLOOKUP("industry|NOx|Infant mortality", US_national_yearly!$D:$AM, 10, FALSE), 1)</f>
        <v>6.6201775278325824E-7</v>
      </c>
      <c r="M3" s="7">
        <f>$B3 * IFERROR(VLOOKUP("industry|NOx|Infant mortality", US_national_yearly!$D:$AM, 21, FALSE) / VLOOKUP("industry|NOx|Infant mortality", US_national_yearly!$D:$AM, 10, FALSE), 1)</f>
        <v>6.5710316231926192E-7</v>
      </c>
      <c r="N3" s="7">
        <f>$B3 * IFERROR(VLOOKUP("industry|NOx|Infant mortality", US_national_yearly!$D:$AM, 22, FALSE) / VLOOKUP("industry|NOx|Infant mortality", US_national_yearly!$D:$AM, 10, FALSE), 1)</f>
        <v>6.5379193294686462E-7</v>
      </c>
      <c r="O3" s="7">
        <f>$B3 * IFERROR(VLOOKUP("industry|NOx|Infant mortality", US_national_yearly!$D:$AM, 23, FALSE) / VLOOKUP("industry|NOx|Infant mortality", US_national_yearly!$D:$AM, 10, FALSE), 1)</f>
        <v>6.5048070357446711E-7</v>
      </c>
      <c r="P3" s="7">
        <f>$B3 * IFERROR(VLOOKUP("industry|NOx|Infant mortality", US_national_yearly!$D:$AM, 24, FALSE) / VLOOKUP("industry|NOx|Infant mortality", US_national_yearly!$D:$AM, 10, FALSE), 1)</f>
        <v>6.4716947420206981E-7</v>
      </c>
      <c r="Q3" s="7">
        <f>$B3 * IFERROR(VLOOKUP("industry|NOx|Infant mortality", US_national_yearly!$D:$AM, 25, FALSE) / VLOOKUP("industry|NOx|Infant mortality", US_national_yearly!$D:$AM, 10, FALSE), 1)</f>
        <v>6.4385824482967251E-7</v>
      </c>
      <c r="R3" s="7">
        <f>$B3 * IFERROR(VLOOKUP("industry|NOx|Infant mortality", US_national_yearly!$D:$AM, 26, FALSE) / VLOOKUP("industry|NOx|Infant mortality", US_national_yearly!$D:$AM, 10, FALSE), 1)</f>
        <v>6.405470154572751E-7</v>
      </c>
      <c r="S3" s="7">
        <f>$B3 * IFERROR(VLOOKUP("industry|NOx|Infant mortality", US_national_yearly!$D:$AM, 27, FALSE) / VLOOKUP("industry|NOx|Infant mortality", US_national_yearly!$D:$AM, 10, FALSE), 1)</f>
        <v>6.3661498977596236E-7</v>
      </c>
      <c r="T3" s="7">
        <f>$B3 * IFERROR(VLOOKUP("industry|NOx|Infant mortality", US_national_yearly!$D:$AM, 28, FALSE) / VLOOKUP("industry|NOx|Infant mortality", US_national_yearly!$D:$AM, 10, FALSE), 1)</f>
        <v>6.3268296409464961E-7</v>
      </c>
      <c r="U3" s="7">
        <f>$B3 * IFERROR(VLOOKUP("industry|NOx|Infant mortality", US_national_yearly!$D:$AM, 29, FALSE) / VLOOKUP("industry|NOx|Infant mortality", US_national_yearly!$D:$AM, 10, FALSE), 1)</f>
        <v>6.2875093841333686E-7</v>
      </c>
      <c r="V3" s="7">
        <f>$B3 * IFERROR(VLOOKUP("industry|NOx|Infant mortality", US_national_yearly!$D:$AM, 30, FALSE) / VLOOKUP("industry|NOx|Infant mortality", US_national_yearly!$D:$AM, 10, FALSE), 1)</f>
        <v>6.2481891273202411E-7</v>
      </c>
      <c r="W3" s="7">
        <f>$B3 * IFERROR(VLOOKUP("industry|NOx|Infant mortality", US_national_yearly!$D:$AM, 31, FALSE) / VLOOKUP("industry|NOx|Infant mortality", US_national_yearly!$D:$AM, 10, FALSE), 1)</f>
        <v>6.2088688705071158E-7</v>
      </c>
      <c r="X3" s="7">
        <f>$B3 * IFERROR(VLOOKUP("industry|NOx|Infant mortality", US_national_yearly!$D:$AM, 32, FALSE) / VLOOKUP("industry|NOx|Infant mortality", US_national_yearly!$D:$AM, 10, FALSE), 1)</f>
        <v>6.1675782469971292E-7</v>
      </c>
      <c r="Y3" s="7">
        <f>$B3 * IFERROR(VLOOKUP("industry|NOx|Infant mortality", US_national_yearly!$D:$AM, 33, FALSE) / VLOOKUP("industry|NOx|Infant mortality", US_national_yearly!$D:$AM, 10, FALSE), 1)</f>
        <v>6.1262876234871437E-7</v>
      </c>
      <c r="Z3" s="7">
        <f>$B3 * IFERROR(VLOOKUP("industry|NOx|Infant mortality", US_national_yearly!$D:$AM, 34, FALSE) / VLOOKUP("industry|NOx|Infant mortality", US_national_yearly!$D:$AM, 10, FALSE), 1)</f>
        <v>6.0849969999771592E-7</v>
      </c>
      <c r="AA3" s="7">
        <f>$B3 * IFERROR(VLOOKUP("industry|NOx|Infant mortality", US_national_yearly!$D:$AM, 35, FALSE) / VLOOKUP("industry|NOx|Infant mortality", US_national_yearly!$D:$AM, 10, FALSE), 1)</f>
        <v>6.0437063764671737E-7</v>
      </c>
      <c r="AB3" s="7">
        <f>$B3 * IFERROR(VLOOKUP("industry|NOx|Infant mortality", US_national_yearly!$D:$AM, 36, FALSE) / VLOOKUP("industry|NOx|Infant mortality", US_national_yearly!$D:$AM, 10, FALSE), 1)</f>
        <v>6.0024157529571892E-7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1.8439421664398262E-3</v>
      </c>
      <c r="C6" s="7">
        <f>$B6 * IFERROR(VLOOKUP("industry|NOx|Asthma symptoms cough", US_national_yearly!$D:$AM, 11, FALSE) / VLOOKUP("industry|NOx|Asthma symptoms cough", US_national_yearly!$D:$AM, 10, FALSE), 1)</f>
        <v>1.8691679209595555E-3</v>
      </c>
      <c r="D6" s="7">
        <f>$B6 * IFERROR(VLOOKUP("industry|NOx|Asthma symptoms cough", US_national_yearly!$D:$AM, 12, FALSE) / VLOOKUP("industry|NOx|Asthma symptoms cough", US_national_yearly!$D:$AM, 10, FALSE), 1)</f>
        <v>1.8943936754792848E-3</v>
      </c>
      <c r="E6" s="7">
        <f>$B6 * IFERROR(VLOOKUP("industry|NOx|Asthma symptoms cough", US_national_yearly!$D:$AM, 13, FALSE) / VLOOKUP("industry|NOx|Asthma symptoms cough", US_national_yearly!$D:$AM, 10, FALSE), 1)</f>
        <v>1.9196194299990138E-3</v>
      </c>
      <c r="F6" s="7">
        <f>$B6 * IFERROR(VLOOKUP("industry|NOx|Asthma symptoms cough", US_national_yearly!$D:$AM, 14, FALSE) / VLOOKUP("industry|NOx|Asthma symptoms cough", US_national_yearly!$D:$AM, 10, FALSE), 1)</f>
        <v>1.9448451845187431E-3</v>
      </c>
      <c r="G6" s="7">
        <f>$B6 * IFERROR(VLOOKUP("industry|NOx|Asthma symptoms cough", US_national_yearly!$D:$AM, 15, FALSE) / VLOOKUP("industry|NOx|Asthma symptoms cough", US_national_yearly!$D:$AM, 10, FALSE), 1)</f>
        <v>1.9650723261843707E-3</v>
      </c>
      <c r="H6" s="7">
        <f>$B6 * IFERROR(VLOOKUP("industry|NOx|Asthma symptoms cough", US_national_yearly!$D:$AM, 16, FALSE) / VLOOKUP("industry|NOx|Asthma symptoms cough", US_national_yearly!$D:$AM, 10, FALSE), 1)</f>
        <v>1.9852994678499986E-3</v>
      </c>
      <c r="I6" s="7">
        <f>$B6 * IFERROR(VLOOKUP("industry|NOx|Asthma symptoms cough", US_national_yearly!$D:$AM, 17, FALSE) / VLOOKUP("industry|NOx|Asthma symptoms cough", US_national_yearly!$D:$AM, 10, FALSE), 1)</f>
        <v>1.9923386924646006E-3</v>
      </c>
      <c r="J6" s="7">
        <f>$B6 * IFERROR(VLOOKUP("industry|NOx|Asthma symptoms cough", US_national_yearly!$D:$AM, 18, FALSE) / VLOOKUP("industry|NOx|Asthma symptoms cough", US_national_yearly!$D:$AM, 10, FALSE), 1)</f>
        <v>1.9993779170792035E-3</v>
      </c>
      <c r="K6" s="7">
        <f>$B6 * IFERROR(VLOOKUP("industry|NOx|Asthma symptoms cough", US_national_yearly!$D:$AM, 19, FALSE) / VLOOKUP("industry|NOx|Asthma symptoms cough", US_national_yearly!$D:$AM, 10, FALSE), 1)</f>
        <v>2.0064171416938055E-3</v>
      </c>
      <c r="L6" s="7">
        <f>$B6 * IFERROR(VLOOKUP("industry|NOx|Asthma symptoms cough", US_national_yearly!$D:$AM, 20, FALSE) / VLOOKUP("industry|NOx|Asthma symptoms cough", US_national_yearly!$D:$AM, 10, FALSE), 1)</f>
        <v>2.0134563663084079E-3</v>
      </c>
      <c r="M6" s="7">
        <f>$B6 * IFERROR(VLOOKUP("industry|NOx|Asthma symptoms cough", US_national_yearly!$D:$AM, 21, FALSE) / VLOOKUP("industry|NOx|Asthma symptoms cough", US_national_yearly!$D:$AM, 10, FALSE), 1)</f>
        <v>2.0204955909230108E-3</v>
      </c>
      <c r="N6" s="7">
        <f>$B6 * IFERROR(VLOOKUP("industry|NOx|Asthma symptoms cough", US_national_yearly!$D:$AM, 22, FALSE) / VLOOKUP("industry|NOx|Asthma symptoms cough", US_national_yearly!$D:$AM, 10, FALSE), 1)</f>
        <v>2.0285310579820689E-3</v>
      </c>
      <c r="O6" s="7">
        <f>$B6 * IFERROR(VLOOKUP("industry|NOx|Asthma symptoms cough", US_national_yearly!$D:$AM, 23, FALSE) / VLOOKUP("industry|NOx|Asthma symptoms cough", US_national_yearly!$D:$AM, 10, FALSE), 1)</f>
        <v>2.036566525041127E-3</v>
      </c>
      <c r="P6" s="7">
        <f>$B6 * IFERROR(VLOOKUP("industry|NOx|Asthma symptoms cough", US_national_yearly!$D:$AM, 24, FALSE) / VLOOKUP("industry|NOx|Asthma symptoms cough", US_national_yearly!$D:$AM, 10, FALSE), 1)</f>
        <v>2.044601992100185E-3</v>
      </c>
      <c r="Q6" s="7">
        <f>$B6 * IFERROR(VLOOKUP("industry|NOx|Asthma symptoms cough", US_national_yearly!$D:$AM, 25, FALSE) / VLOOKUP("industry|NOx|Asthma symptoms cough", US_national_yearly!$D:$AM, 10, FALSE), 1)</f>
        <v>2.0526374591592431E-3</v>
      </c>
      <c r="R6" s="7">
        <f>$B6 * IFERROR(VLOOKUP("industry|NOx|Asthma symptoms cough", US_national_yearly!$D:$AM, 26, FALSE) / VLOOKUP("industry|NOx|Asthma symptoms cough", US_national_yearly!$D:$AM, 10, FALSE), 1)</f>
        <v>2.0606729262183016E-3</v>
      </c>
      <c r="S6" s="7">
        <f>$B6 * IFERROR(VLOOKUP("industry|NOx|Asthma symptoms cough", US_national_yearly!$D:$AM, 27, FALSE) / VLOOKUP("industry|NOx|Asthma symptoms cough", US_national_yearly!$D:$AM, 10, FALSE), 1)</f>
        <v>2.0710383231871345E-3</v>
      </c>
      <c r="T6" s="7">
        <f>$B6 * IFERROR(VLOOKUP("industry|NOx|Asthma symptoms cough", US_national_yearly!$D:$AM, 28, FALSE) / VLOOKUP("industry|NOx|Asthma symptoms cough", US_national_yearly!$D:$AM, 10, FALSE), 1)</f>
        <v>2.0814037201559677E-3</v>
      </c>
      <c r="U6" s="7">
        <f>$B6 * IFERROR(VLOOKUP("industry|NOx|Asthma symptoms cough", US_national_yearly!$D:$AM, 29, FALSE) / VLOOKUP("industry|NOx|Asthma symptoms cough", US_national_yearly!$D:$AM, 10, FALSE), 1)</f>
        <v>2.091769117124801E-3</v>
      </c>
      <c r="V6" s="7">
        <f>$B6 * IFERROR(VLOOKUP("industry|NOx|Asthma symptoms cough", US_national_yearly!$D:$AM, 30, FALSE) / VLOOKUP("industry|NOx|Asthma symptoms cough", US_national_yearly!$D:$AM, 10, FALSE), 1)</f>
        <v>2.1021345140936334E-3</v>
      </c>
      <c r="W6" s="7">
        <f>$B6 * IFERROR(VLOOKUP("industry|NOx|Asthma symptoms cough", US_national_yearly!$D:$AM, 31, FALSE) / VLOOKUP("industry|NOx|Asthma symptoms cough", US_national_yearly!$D:$AM, 10, FALSE), 1)</f>
        <v>2.1124999110624671E-3</v>
      </c>
      <c r="X6" s="7">
        <f>$B6 * IFERROR(VLOOKUP("industry|NOx|Asthma symptoms cough", US_national_yearly!$D:$AM, 32, FALSE) / VLOOKUP("industry|NOx|Asthma symptoms cough", US_national_yearly!$D:$AM, 10, FALSE), 1)</f>
        <v>2.1221094311372718E-3</v>
      </c>
      <c r="Y6" s="7">
        <f>$B6 * IFERROR(VLOOKUP("industry|NOx|Asthma symptoms cough", US_national_yearly!$D:$AM, 33, FALSE) / VLOOKUP("industry|NOx|Asthma symptoms cough", US_national_yearly!$D:$AM, 10, FALSE), 1)</f>
        <v>2.131718951212076E-3</v>
      </c>
      <c r="Z6" s="7">
        <f>$B6 * IFERROR(VLOOKUP("industry|NOx|Asthma symptoms cough", US_national_yearly!$D:$AM, 34, FALSE) / VLOOKUP("industry|NOx|Asthma symptoms cough", US_national_yearly!$D:$AM, 10, FALSE), 1)</f>
        <v>2.1413284712868811E-3</v>
      </c>
      <c r="AA6" s="7">
        <f>$B6 * IFERROR(VLOOKUP("industry|NOx|Asthma symptoms cough", US_national_yearly!$D:$AM, 35, FALSE) / VLOOKUP("industry|NOx|Asthma symptoms cough", US_national_yearly!$D:$AM, 10, FALSE), 1)</f>
        <v>2.1509379913616854E-3</v>
      </c>
      <c r="AB6" s="7">
        <f>$B6 * IFERROR(VLOOKUP("industry|NOx|Asthma symptoms cough", US_national_yearly!$D:$AM, 36, FALSE) / VLOOKUP("industry|NOx|Asthma symptoms cough", US_national_yearly!$D:$AM, 10, FALSE), 1)</f>
        <v>2.16054751143649E-3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2.4830883591267618E-3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2.5170578503642678E-3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2.5510273416017742E-3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2.5849968328392802E-3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2.618966324076787E-3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2.6462045860660447E-3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2.6734428480553029E-3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2.6829220046067741E-3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2.6924011611582448E-3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2.701880317709716E-3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2.7113594742611885E-3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2.7208386308126596E-3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2.7316593468146083E-3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2.7424800628165565E-3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2.753300778818506E-3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2.764121494820455E-3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2.7749422108224037E-3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2.7889004557490435E-3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2.8028587006756842E-3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2.8168169456023241E-3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2.8307751905289648E-3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2.8447334354556042E-3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2.8576738018568589E-3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2.8706141682581132E-3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2.8835545346593675E-3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2.8964949010606218E-3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2.9094352674618757E-3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3.7939069720154136E-3</v>
      </c>
      <c r="C8" s="7">
        <f>$B8 * IFERROR(VLOOKUP("industry|NOx|Asthma symptoms wheeze", US_national_yearly!$D:$AM, 11, FALSE) / VLOOKUP("industry|NOx|Asthma symptoms wheeze", US_national_yearly!$D:$AM, 10, FALSE), 1)</f>
        <v>3.8458089067686671E-3</v>
      </c>
      <c r="D8" s="7">
        <f>$B8 * IFERROR(VLOOKUP("industry|NOx|Asthma symptoms wheeze", US_national_yearly!$D:$AM, 12, FALSE) / VLOOKUP("industry|NOx|Asthma symptoms wheeze", US_national_yearly!$D:$AM, 10, FALSE), 1)</f>
        <v>3.8977108415219207E-3</v>
      </c>
      <c r="E8" s="7">
        <f>$B8 * IFERROR(VLOOKUP("industry|NOx|Asthma symptoms wheeze", US_national_yearly!$D:$AM, 13, FALSE) / VLOOKUP("industry|NOx|Asthma symptoms wheeze", US_national_yearly!$D:$AM, 10, FALSE), 1)</f>
        <v>3.9496127762751743E-3</v>
      </c>
      <c r="F8" s="7">
        <f>$B8 * IFERROR(VLOOKUP("industry|NOx|Asthma symptoms wheeze", US_national_yearly!$D:$AM, 14, FALSE) / VLOOKUP("industry|NOx|Asthma symptoms wheeze", US_national_yearly!$D:$AM, 10, FALSE), 1)</f>
        <v>4.0015147110284274E-3</v>
      </c>
      <c r="G8" s="7">
        <f>$B8 * IFERROR(VLOOKUP("industry|NOx|Asthma symptoms wheeze", US_national_yearly!$D:$AM, 15, FALSE) / VLOOKUP("industry|NOx|Asthma symptoms wheeze", US_national_yearly!$D:$AM, 10, FALSE), 1)</f>
        <v>4.0431320107773405E-3</v>
      </c>
      <c r="H8" s="7">
        <f>$B8 * IFERROR(VLOOKUP("industry|NOx|Asthma symptoms wheeze", US_national_yearly!$D:$AM, 16, FALSE) / VLOOKUP("industry|NOx|Asthma symptoms wheeze", US_national_yearly!$D:$AM, 10, FALSE), 1)</f>
        <v>4.0847493105262518E-3</v>
      </c>
      <c r="I8" s="7">
        <f>$B8 * IFERROR(VLOOKUP("industry|NOx|Asthma symptoms wheeze", US_national_yearly!$D:$AM, 17, FALSE) / VLOOKUP("industry|NOx|Asthma symptoms wheeze", US_national_yearly!$D:$AM, 10, FALSE), 1)</f>
        <v>4.0992324997911958E-3</v>
      </c>
      <c r="J8" s="7">
        <f>$B8 * IFERROR(VLOOKUP("industry|NOx|Asthma symptoms wheeze", US_national_yearly!$D:$AM, 18, FALSE) / VLOOKUP("industry|NOx|Asthma symptoms wheeze", US_national_yearly!$D:$AM, 10, FALSE), 1)</f>
        <v>4.113715689056139E-3</v>
      </c>
      <c r="K8" s="7">
        <f>$B8 * IFERROR(VLOOKUP("industry|NOx|Asthma symptoms wheeze", US_national_yearly!$D:$AM, 19, FALSE) / VLOOKUP("industry|NOx|Asthma symptoms wheeze", US_national_yearly!$D:$AM, 10, FALSE), 1)</f>
        <v>4.1281988783210839E-3</v>
      </c>
      <c r="L8" s="7">
        <f>$B8 * IFERROR(VLOOKUP("industry|NOx|Asthma symptoms wheeze", US_national_yearly!$D:$AM, 20, FALSE) / VLOOKUP("industry|NOx|Asthma symptoms wheeze", US_national_yearly!$D:$AM, 10, FALSE), 1)</f>
        <v>4.1426820675860261E-3</v>
      </c>
      <c r="M8" s="7">
        <f>$B8 * IFERROR(VLOOKUP("industry|NOx|Asthma symptoms wheeze", US_national_yearly!$D:$AM, 21, FALSE) / VLOOKUP("industry|NOx|Asthma symptoms wheeze", US_national_yearly!$D:$AM, 10, FALSE), 1)</f>
        <v>4.157165256850971E-3</v>
      </c>
      <c r="N8" s="7">
        <f>$B8 * IFERROR(VLOOKUP("industry|NOx|Asthma symptoms wheeze", US_national_yearly!$D:$AM, 22, FALSE) / VLOOKUP("industry|NOx|Asthma symptoms wheeze", US_national_yearly!$D:$AM, 10, FALSE), 1)</f>
        <v>4.1736982127652976E-3</v>
      </c>
      <c r="O8" s="7">
        <f>$B8 * IFERROR(VLOOKUP("industry|NOx|Asthma symptoms wheeze", US_national_yearly!$D:$AM, 23, FALSE) / VLOOKUP("industry|NOx|Asthma symptoms wheeze", US_national_yearly!$D:$AM, 10, FALSE), 1)</f>
        <v>4.1902311686796241E-3</v>
      </c>
      <c r="P8" s="7">
        <f>$B8 * IFERROR(VLOOKUP("industry|NOx|Asthma symptoms wheeze", US_national_yearly!$D:$AM, 24, FALSE) / VLOOKUP("industry|NOx|Asthma symptoms wheeze", US_national_yearly!$D:$AM, 10, FALSE), 1)</f>
        <v>4.2067641245939497E-3</v>
      </c>
      <c r="Q8" s="7">
        <f>$B8 * IFERROR(VLOOKUP("industry|NOx|Asthma symptoms wheeze", US_national_yearly!$D:$AM, 25, FALSE) / VLOOKUP("industry|NOx|Asthma symptoms wheeze", US_national_yearly!$D:$AM, 10, FALSE), 1)</f>
        <v>4.2232970805082771E-3</v>
      </c>
      <c r="R8" s="7">
        <f>$B8 * IFERROR(VLOOKUP("industry|NOx|Asthma symptoms wheeze", US_national_yearly!$D:$AM, 26, FALSE) / VLOOKUP("industry|NOx|Asthma symptoms wheeze", US_national_yearly!$D:$AM, 10, FALSE), 1)</f>
        <v>4.2398300364226036E-3</v>
      </c>
      <c r="S8" s="7">
        <f>$B8 * IFERROR(VLOOKUP("industry|NOx|Asthma symptoms wheeze", US_national_yearly!$D:$AM, 27, FALSE) / VLOOKUP("industry|NOx|Asthma symptoms wheeze", US_national_yearly!$D:$AM, 10, FALSE), 1)</f>
        <v>4.2611568180276381E-3</v>
      </c>
      <c r="T8" s="7">
        <f>$B8 * IFERROR(VLOOKUP("industry|NOx|Asthma symptoms wheeze", US_national_yearly!$D:$AM, 28, FALSE) / VLOOKUP("industry|NOx|Asthma symptoms wheeze", US_national_yearly!$D:$AM, 10, FALSE), 1)</f>
        <v>4.2824835996326718E-3</v>
      </c>
      <c r="U8" s="7">
        <f>$B8 * IFERROR(VLOOKUP("industry|NOx|Asthma symptoms wheeze", US_national_yearly!$D:$AM, 29, FALSE) / VLOOKUP("industry|NOx|Asthma symptoms wheeze", US_national_yearly!$D:$AM, 10, FALSE), 1)</f>
        <v>4.3038103812377054E-3</v>
      </c>
      <c r="V8" s="7">
        <f>$B8 * IFERROR(VLOOKUP("industry|NOx|Asthma symptoms wheeze", US_national_yearly!$D:$AM, 30, FALSE) / VLOOKUP("industry|NOx|Asthma symptoms wheeze", US_national_yearly!$D:$AM, 10, FALSE), 1)</f>
        <v>4.3251371628427399E-3</v>
      </c>
      <c r="W8" s="7">
        <f>$B8 * IFERROR(VLOOKUP("industry|NOx|Asthma symptoms wheeze", US_national_yearly!$D:$AM, 31, FALSE) / VLOOKUP("industry|NOx|Asthma symptoms wheeze", US_national_yearly!$D:$AM, 10, FALSE), 1)</f>
        <v>4.3464639444477735E-3</v>
      </c>
      <c r="X8" s="7">
        <f>$B8 * IFERROR(VLOOKUP("industry|NOx|Asthma symptoms wheeze", US_national_yearly!$D:$AM, 32, FALSE) / VLOOKUP("industry|NOx|Asthma symptoms wheeze", US_national_yearly!$D:$AM, 10, FALSE), 1)</f>
        <v>4.3662355109953567E-3</v>
      </c>
      <c r="Y8" s="7">
        <f>$B8 * IFERROR(VLOOKUP("industry|NOx|Asthma symptoms wheeze", US_national_yearly!$D:$AM, 33, FALSE) / VLOOKUP("industry|NOx|Asthma symptoms wheeze", US_national_yearly!$D:$AM, 10, FALSE), 1)</f>
        <v>4.386007077542939E-3</v>
      </c>
      <c r="Z8" s="7">
        <f>$B8 * IFERROR(VLOOKUP("industry|NOx|Asthma symptoms wheeze", US_national_yearly!$D:$AM, 34, FALSE) / VLOOKUP("industry|NOx|Asthma symptoms wheeze", US_national_yearly!$D:$AM, 10, FALSE), 1)</f>
        <v>4.4057786440905213E-3</v>
      </c>
      <c r="AA8" s="7">
        <f>$B8 * IFERROR(VLOOKUP("industry|NOx|Asthma symptoms wheeze", US_national_yearly!$D:$AM, 35, FALSE) / VLOOKUP("industry|NOx|Asthma symptoms wheeze", US_national_yearly!$D:$AM, 10, FALSE), 1)</f>
        <v>4.4255502106381028E-3</v>
      </c>
      <c r="AB8" s="7">
        <f>$B8 * IFERROR(VLOOKUP("industry|NOx|Asthma symptoms wheeze", US_national_yearly!$D:$AM, 36, FALSE) / VLOOKUP("industry|NOx|Asthma symptoms wheeze", US_national_yearly!$D:$AM, 10, FALSE), 1)</f>
        <v>4.4453217771856885E-3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4.9302203958865825E-5</v>
      </c>
      <c r="C12" s="7">
        <f>$B12 * IFERROR(VLOOKUP("industry|NOx|Respiratory hospital admissions", US_national_yearly!$D:$AM, 11, FALSE) / VLOOKUP("industry|NOx|Respiratory hospital admissions", US_national_yearly!$D:$AM, 10, FALSE), 1)</f>
        <v>5.0540838661197049E-5</v>
      </c>
      <c r="D12" s="7">
        <f>$B12 * IFERROR(VLOOKUP("industry|NOx|Respiratory hospital admissions", US_national_yearly!$D:$AM, 12, FALSE) / VLOOKUP("industry|NOx|Respiratory hospital admissions", US_national_yearly!$D:$AM, 10, FALSE), 1)</f>
        <v>5.177947336352828E-5</v>
      </c>
      <c r="E12" s="7">
        <f>$B12 * IFERROR(VLOOKUP("industry|NOx|Respiratory hospital admissions", US_national_yearly!$D:$AM, 13, FALSE) / VLOOKUP("industry|NOx|Respiratory hospital admissions", US_national_yearly!$D:$AM, 10, FALSE), 1)</f>
        <v>5.301810806585951E-5</v>
      </c>
      <c r="F12" s="7">
        <f>$B12 * IFERROR(VLOOKUP("industry|NOx|Respiratory hospital admissions", US_national_yearly!$D:$AM, 14, FALSE) / VLOOKUP("industry|NOx|Respiratory hospital admissions", US_national_yearly!$D:$AM, 10, FALSE), 1)</f>
        <v>5.4256742768190728E-5</v>
      </c>
      <c r="G12" s="7">
        <f>$B12 * IFERROR(VLOOKUP("industry|NOx|Respiratory hospital admissions", US_national_yearly!$D:$AM, 15, FALSE) / VLOOKUP("industry|NOx|Respiratory hospital admissions", US_national_yearly!$D:$AM, 10, FALSE), 1)</f>
        <v>5.5441551939644528E-5</v>
      </c>
      <c r="H12" s="7">
        <f>$B12 * IFERROR(VLOOKUP("industry|NOx|Respiratory hospital admissions", US_national_yearly!$D:$AM, 16, FALSE) / VLOOKUP("industry|NOx|Respiratory hospital admissions", US_national_yearly!$D:$AM, 10, FALSE), 1)</f>
        <v>5.6626361111098322E-5</v>
      </c>
      <c r="I12" s="7">
        <f>$B12 * IFERROR(VLOOKUP("industry|NOx|Respiratory hospital admissions", US_national_yearly!$D:$AM, 17, FALSE) / VLOOKUP("industry|NOx|Respiratory hospital admissions", US_national_yearly!$D:$AM, 10, FALSE), 1)</f>
        <v>5.7635387008339715E-5</v>
      </c>
      <c r="J12" s="7">
        <f>$B12 * IFERROR(VLOOKUP("industry|NOx|Respiratory hospital admissions", US_national_yearly!$D:$AM, 18, FALSE) / VLOOKUP("industry|NOx|Respiratory hospital admissions", US_national_yearly!$D:$AM, 10, FALSE), 1)</f>
        <v>5.8644412905581108E-5</v>
      </c>
      <c r="K12" s="7">
        <f>$B12 * IFERROR(VLOOKUP("industry|NOx|Respiratory hospital admissions", US_national_yearly!$D:$AM, 19, FALSE) / VLOOKUP("industry|NOx|Respiratory hospital admissions", US_national_yearly!$D:$AM, 10, FALSE), 1)</f>
        <v>5.9653438802822508E-5</v>
      </c>
      <c r="L12" s="7">
        <f>$B12 * IFERROR(VLOOKUP("industry|NOx|Respiratory hospital admissions", US_national_yearly!$D:$AM, 20, FALSE) / VLOOKUP("industry|NOx|Respiratory hospital admissions", US_national_yearly!$D:$AM, 10, FALSE), 1)</f>
        <v>6.0662464700063914E-5</v>
      </c>
      <c r="M12" s="7">
        <f>$B12 * IFERROR(VLOOKUP("industry|NOx|Respiratory hospital admissions", US_national_yearly!$D:$AM, 21, FALSE) / VLOOKUP("industry|NOx|Respiratory hospital admissions", US_national_yearly!$D:$AM, 10, FALSE), 1)</f>
        <v>6.1671490597305307E-5</v>
      </c>
      <c r="N12" s="7">
        <f>$B12 * IFERROR(VLOOKUP("industry|NOx|Respiratory hospital admissions", US_national_yearly!$D:$AM, 22, FALSE) / VLOOKUP("industry|NOx|Respiratory hospital admissions", US_national_yearly!$D:$AM, 10, FALSE), 1)</f>
        <v>6.2347756895795149E-5</v>
      </c>
      <c r="O12" s="7">
        <f>$B12 * IFERROR(VLOOKUP("industry|NOx|Respiratory hospital admissions", US_national_yearly!$D:$AM, 23, FALSE) / VLOOKUP("industry|NOx|Respiratory hospital admissions", US_national_yearly!$D:$AM, 10, FALSE), 1)</f>
        <v>6.3024023194284978E-5</v>
      </c>
      <c r="P12" s="7">
        <f>$B12 * IFERROR(VLOOKUP("industry|NOx|Respiratory hospital admissions", US_national_yearly!$D:$AM, 24, FALSE) / VLOOKUP("industry|NOx|Respiratory hospital admissions", US_national_yearly!$D:$AM, 10, FALSE), 1)</f>
        <v>6.3700289492774808E-5</v>
      </c>
      <c r="Q12" s="7">
        <f>$B12 * IFERROR(VLOOKUP("industry|NOx|Respiratory hospital admissions", US_national_yearly!$D:$AM, 25, FALSE) / VLOOKUP("industry|NOx|Respiratory hospital admissions", US_national_yearly!$D:$AM, 10, FALSE), 1)</f>
        <v>6.4376555791264637E-5</v>
      </c>
      <c r="R12" s="7">
        <f>$B12 * IFERROR(VLOOKUP("industry|NOx|Respiratory hospital admissions", US_national_yearly!$D:$AM, 26, FALSE) / VLOOKUP("industry|NOx|Respiratory hospital admissions", US_national_yearly!$D:$AM, 10, FALSE), 1)</f>
        <v>6.5052822089754479E-5</v>
      </c>
      <c r="S12" s="7">
        <f>$B12 * IFERROR(VLOOKUP("industry|NOx|Respiratory hospital admissions", US_national_yearly!$D:$AM, 27, FALSE) / VLOOKUP("industry|NOx|Respiratory hospital admissions", US_national_yearly!$D:$AM, 10, FALSE), 1)</f>
        <v>6.541997593100618E-5</v>
      </c>
      <c r="T12" s="7">
        <f>$B12 * IFERROR(VLOOKUP("industry|NOx|Respiratory hospital admissions", US_national_yearly!$D:$AM, 28, FALSE) / VLOOKUP("industry|NOx|Respiratory hospital admissions", US_national_yearly!$D:$AM, 10, FALSE), 1)</f>
        <v>6.5787129772257907E-5</v>
      </c>
      <c r="U12" s="7">
        <f>$B12 * IFERROR(VLOOKUP("industry|NOx|Respiratory hospital admissions", US_national_yearly!$D:$AM, 29, FALSE) / VLOOKUP("industry|NOx|Respiratory hospital admissions", US_national_yearly!$D:$AM, 10, FALSE), 1)</f>
        <v>6.6154283613509607E-5</v>
      </c>
      <c r="V12" s="7">
        <f>$B12 * IFERROR(VLOOKUP("industry|NOx|Respiratory hospital admissions", US_national_yearly!$D:$AM, 30, FALSE) / VLOOKUP("industry|NOx|Respiratory hospital admissions", US_national_yearly!$D:$AM, 10, FALSE), 1)</f>
        <v>6.6521437454761321E-5</v>
      </c>
      <c r="W12" s="7">
        <f>$B12 * IFERROR(VLOOKUP("industry|NOx|Respiratory hospital admissions", US_national_yearly!$D:$AM, 31, FALSE) / VLOOKUP("industry|NOx|Respiratory hospital admissions", US_national_yearly!$D:$AM, 10, FALSE), 1)</f>
        <v>6.6888591296013035E-5</v>
      </c>
      <c r="X12" s="7">
        <f>$B12 * IFERROR(VLOOKUP("industry|NOx|Respiratory hospital admissions", US_national_yearly!$D:$AM, 32, FALSE) / VLOOKUP("industry|NOx|Respiratory hospital admissions", US_national_yearly!$D:$AM, 10, FALSE), 1)</f>
        <v>6.7144593571243378E-5</v>
      </c>
      <c r="Y12" s="7">
        <f>$B12 * IFERROR(VLOOKUP("industry|NOx|Respiratory hospital admissions", US_national_yearly!$D:$AM, 33, FALSE) / VLOOKUP("industry|NOx|Respiratory hospital admissions", US_national_yearly!$D:$AM, 10, FALSE), 1)</f>
        <v>6.7400595846473722E-5</v>
      </c>
      <c r="Z12" s="7">
        <f>$B12 * IFERROR(VLOOKUP("industry|NOx|Respiratory hospital admissions", US_national_yearly!$D:$AM, 34, FALSE) / VLOOKUP("industry|NOx|Respiratory hospital admissions", US_national_yearly!$D:$AM, 10, FALSE), 1)</f>
        <v>6.7656598121704079E-5</v>
      </c>
      <c r="AA12" s="7">
        <f>$B12 * IFERROR(VLOOKUP("industry|NOx|Respiratory hospital admissions", US_national_yearly!$D:$AM, 35, FALSE) / VLOOKUP("industry|NOx|Respiratory hospital admissions", US_national_yearly!$D:$AM, 10, FALSE), 1)</f>
        <v>6.7912600396934436E-5</v>
      </c>
      <c r="AB12" s="7">
        <f>$B12 * IFERROR(VLOOKUP("industry|NOx|Respiratory hospital admissions", US_national_yearly!$D:$AM, 36, FALSE) / VLOOKUP("industry|NOx|Respiratory hospital admissions", US_national_yearly!$D:$AM, 10, FALSE), 1)</f>
        <v>6.8168602672164779E-5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2.9531152862597349E-4</v>
      </c>
      <c r="C13" s="7">
        <f>$B13 * IFERROR(VLOOKUP("industry|NOx|Non-fatal heart attacks", US_national_yearly!$D:$AM, 11, FALSE) / VLOOKUP("industry|NOx|Non-fatal heart attacks", US_national_yearly!$D:$AM, 10, FALSE), 1)</f>
        <v>3.0374886198996444E-4</v>
      </c>
      <c r="D13" s="7">
        <f>$B13 * IFERROR(VLOOKUP("industry|NOx|Non-fatal heart attacks", US_national_yearly!$D:$AM, 12, FALSE) / VLOOKUP("industry|NOx|Non-fatal heart attacks", US_national_yearly!$D:$AM, 10, FALSE), 1)</f>
        <v>3.1218619535395534E-4</v>
      </c>
      <c r="E13" s="7">
        <f>$B13 * IFERROR(VLOOKUP("industry|NOx|Non-fatal heart attacks", US_national_yearly!$D:$AM, 13, FALSE) / VLOOKUP("industry|NOx|Non-fatal heart attacks", US_national_yearly!$D:$AM, 10, FALSE), 1)</f>
        <v>3.2062352871794629E-4</v>
      </c>
      <c r="F13" s="7">
        <f>$B13 * IFERROR(VLOOKUP("industry|NOx|Non-fatal heart attacks", US_national_yearly!$D:$AM, 14, FALSE) / VLOOKUP("industry|NOx|Non-fatal heart attacks", US_national_yearly!$D:$AM, 10, FALSE), 1)</f>
        <v>3.2906086208193719E-4</v>
      </c>
      <c r="G13" s="7">
        <f>$B13 * IFERROR(VLOOKUP("industry|NOx|Non-fatal heart attacks", US_national_yearly!$D:$AM, 15, FALSE) / VLOOKUP("industry|NOx|Non-fatal heart attacks", US_national_yearly!$D:$AM, 10, FALSE), 1)</f>
        <v>3.3695222661656211E-4</v>
      </c>
      <c r="H13" s="7">
        <f>$B13 * IFERROR(VLOOKUP("industry|NOx|Non-fatal heart attacks", US_national_yearly!$D:$AM, 16, FALSE) / VLOOKUP("industry|NOx|Non-fatal heart attacks", US_national_yearly!$D:$AM, 10, FALSE), 1)</f>
        <v>3.4484359115118698E-4</v>
      </c>
      <c r="I13" s="7">
        <f>$B13 * IFERROR(VLOOKUP("industry|NOx|Non-fatal heart attacks", US_national_yearly!$D:$AM, 17, FALSE) / VLOOKUP("industry|NOx|Non-fatal heart attacks", US_national_yearly!$D:$AM, 10, FALSE), 1)</f>
        <v>3.510848309644163E-4</v>
      </c>
      <c r="J13" s="7">
        <f>$B13 * IFERROR(VLOOKUP("industry|NOx|Non-fatal heart attacks", US_national_yearly!$D:$AM, 18, FALSE) / VLOOKUP("industry|NOx|Non-fatal heart attacks", US_national_yearly!$D:$AM, 10, FALSE), 1)</f>
        <v>3.5732607077764556E-4</v>
      </c>
      <c r="K13" s="7">
        <f>$B13 * IFERROR(VLOOKUP("industry|NOx|Non-fatal heart attacks", US_national_yearly!$D:$AM, 19, FALSE) / VLOOKUP("industry|NOx|Non-fatal heart attacks", US_national_yearly!$D:$AM, 10, FALSE), 1)</f>
        <v>3.6356731059087471E-4</v>
      </c>
      <c r="L13" s="7">
        <f>$B13 * IFERROR(VLOOKUP("industry|NOx|Non-fatal heart attacks", US_national_yearly!$D:$AM, 20, FALSE) / VLOOKUP("industry|NOx|Non-fatal heart attacks", US_national_yearly!$D:$AM, 10, FALSE), 1)</f>
        <v>3.6980855040410414E-4</v>
      </c>
      <c r="M13" s="7">
        <f>$B13 * IFERROR(VLOOKUP("industry|NOx|Non-fatal heart attacks", US_national_yearly!$D:$AM, 21, FALSE) / VLOOKUP("industry|NOx|Non-fatal heart attacks", US_national_yearly!$D:$AM, 10, FALSE), 1)</f>
        <v>3.7604979021733345E-4</v>
      </c>
      <c r="N13" s="7">
        <f>$B13 * IFERROR(VLOOKUP("industry|NOx|Non-fatal heart attacks", US_national_yearly!$D:$AM, 22, FALSE) / VLOOKUP("industry|NOx|Non-fatal heart attacks", US_national_yearly!$D:$AM, 10, FALSE), 1)</f>
        <v>3.7980983765389275E-4</v>
      </c>
      <c r="O13" s="7">
        <f>$B13 * IFERROR(VLOOKUP("industry|NOx|Non-fatal heart attacks", US_national_yearly!$D:$AM, 23, FALSE) / VLOOKUP("industry|NOx|Non-fatal heart attacks", US_national_yearly!$D:$AM, 10, FALSE), 1)</f>
        <v>3.8356988509045194E-4</v>
      </c>
      <c r="P13" s="7">
        <f>$B13 * IFERROR(VLOOKUP("industry|NOx|Non-fatal heart attacks", US_national_yearly!$D:$AM, 24, FALSE) / VLOOKUP("industry|NOx|Non-fatal heart attacks", US_national_yearly!$D:$AM, 10, FALSE), 1)</f>
        <v>3.8732993252701113E-4</v>
      </c>
      <c r="Q13" s="7">
        <f>$B13 * IFERROR(VLOOKUP("industry|NOx|Non-fatal heart attacks", US_national_yearly!$D:$AM, 25, FALSE) / VLOOKUP("industry|NOx|Non-fatal heart attacks", US_national_yearly!$D:$AM, 10, FALSE), 1)</f>
        <v>3.9108997996357032E-4</v>
      </c>
      <c r="R13" s="7">
        <f>$B13 * IFERROR(VLOOKUP("industry|NOx|Non-fatal heart attacks", US_national_yearly!$D:$AM, 26, FALSE) / VLOOKUP("industry|NOx|Non-fatal heart attacks", US_national_yearly!$D:$AM, 10, FALSE), 1)</f>
        <v>3.9485002740012956E-4</v>
      </c>
      <c r="S13" s="7">
        <f>$B13 * IFERROR(VLOOKUP("industry|NOx|Non-fatal heart attacks", US_national_yearly!$D:$AM, 27, FALSE) / VLOOKUP("industry|NOx|Non-fatal heart attacks", US_national_yearly!$D:$AM, 10, FALSE), 1)</f>
        <v>3.9657521216349676E-4</v>
      </c>
      <c r="T13" s="7">
        <f>$B13 * IFERROR(VLOOKUP("industry|NOx|Non-fatal heart attacks", US_national_yearly!$D:$AM, 28, FALSE) / VLOOKUP("industry|NOx|Non-fatal heart attacks", US_national_yearly!$D:$AM, 10, FALSE), 1)</f>
        <v>3.9830039692686386E-4</v>
      </c>
      <c r="U13" s="7">
        <f>$B13 * IFERROR(VLOOKUP("industry|NOx|Non-fatal heart attacks", US_national_yearly!$D:$AM, 29, FALSE) / VLOOKUP("industry|NOx|Non-fatal heart attacks", US_national_yearly!$D:$AM, 10, FALSE), 1)</f>
        <v>4.0002558169023101E-4</v>
      </c>
      <c r="V13" s="7">
        <f>$B13 * IFERROR(VLOOKUP("industry|NOx|Non-fatal heart attacks", US_national_yearly!$D:$AM, 30, FALSE) / VLOOKUP("industry|NOx|Non-fatal heart attacks", US_national_yearly!$D:$AM, 10, FALSE), 1)</f>
        <v>4.0175076645359821E-4</v>
      </c>
      <c r="W13" s="7">
        <f>$B13 * IFERROR(VLOOKUP("industry|NOx|Non-fatal heart attacks", US_national_yearly!$D:$AM, 31, FALSE) / VLOOKUP("industry|NOx|Non-fatal heart attacks", US_national_yearly!$D:$AM, 10, FALSE), 1)</f>
        <v>4.0347595121696531E-4</v>
      </c>
      <c r="X13" s="7">
        <f>$B13 * IFERROR(VLOOKUP("industry|NOx|Non-fatal heart attacks", US_national_yearly!$D:$AM, 32, FALSE) / VLOOKUP("industry|NOx|Non-fatal heart attacks", US_national_yearly!$D:$AM, 10, FALSE), 1)</f>
        <v>4.0464026193029468E-4</v>
      </c>
      <c r="Y13" s="7">
        <f>$B13 * IFERROR(VLOOKUP("industry|NOx|Non-fatal heart attacks", US_national_yearly!$D:$AM, 33, FALSE) / VLOOKUP("industry|NOx|Non-fatal heart attacks", US_national_yearly!$D:$AM, 10, FALSE), 1)</f>
        <v>4.0580457264362404E-4</v>
      </c>
      <c r="Z13" s="7">
        <f>$B13 * IFERROR(VLOOKUP("industry|NOx|Non-fatal heart attacks", US_national_yearly!$D:$AM, 34, FALSE) / VLOOKUP("industry|NOx|Non-fatal heart attacks", US_national_yearly!$D:$AM, 10, FALSE), 1)</f>
        <v>4.0696888335695341E-4</v>
      </c>
      <c r="AA13" s="7">
        <f>$B13 * IFERROR(VLOOKUP("industry|NOx|Non-fatal heart attacks", US_national_yearly!$D:$AM, 35, FALSE) / VLOOKUP("industry|NOx|Non-fatal heart attacks", US_national_yearly!$D:$AM, 10, FALSE), 1)</f>
        <v>4.0813319407028277E-4</v>
      </c>
      <c r="AB13" s="7">
        <f>$B13 * IFERROR(VLOOKUP("industry|NOx|Non-fatal heart attacks", US_national_yearly!$D:$AM, 36, FALSE) / VLOOKUP("industry|NOx|Non-fatal heart attacks", US_national_yearly!$D:$AM, 10, FALSE), 1)</f>
        <v>4.0929750478361213E-4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0.22703624372934478</v>
      </c>
      <c r="C14" s="7">
        <f>$B14 * IFERROR(VLOOKUP("industry|NOx|Minor restricted activity days", US_national_yearly!$D:$AM, 11, FALSE) / VLOOKUP("industry|NOx|Minor restricted activity days", US_national_yearly!$D:$AM, 10, FALSE), 1)</f>
        <v>0.22737261544357171</v>
      </c>
      <c r="D14" s="7">
        <f>$B14 * IFERROR(VLOOKUP("industry|NOx|Minor restricted activity days", US_national_yearly!$D:$AM, 12, FALSE) / VLOOKUP("industry|NOx|Minor restricted activity days", US_national_yearly!$D:$AM, 10, FALSE), 1)</f>
        <v>0.22770898715779861</v>
      </c>
      <c r="E14" s="7">
        <f>$B14 * IFERROR(VLOOKUP("industry|NOx|Minor restricted activity days", US_national_yearly!$D:$AM, 13, FALSE) / VLOOKUP("industry|NOx|Minor restricted activity days", US_national_yearly!$D:$AM, 10, FALSE), 1)</f>
        <v>0.22804535887202557</v>
      </c>
      <c r="F14" s="7">
        <f>$B14 * IFERROR(VLOOKUP("industry|NOx|Minor restricted activity days", US_national_yearly!$D:$AM, 14, FALSE) / VLOOKUP("industry|NOx|Minor restricted activity days", US_national_yearly!$D:$AM, 10, FALSE), 1)</f>
        <v>0.22838173058625244</v>
      </c>
      <c r="G14" s="7">
        <f>$B14 * IFERROR(VLOOKUP("industry|NOx|Minor restricted activity days", US_national_yearly!$D:$AM, 15, FALSE) / VLOOKUP("industry|NOx|Minor restricted activity days", US_national_yearly!$D:$AM, 10, FALSE), 1)</f>
        <v>0.22899406383510834</v>
      </c>
      <c r="H14" s="7">
        <f>$B14 * IFERROR(VLOOKUP("industry|NOx|Minor restricted activity days", US_national_yearly!$D:$AM, 16, FALSE) / VLOOKUP("industry|NOx|Minor restricted activity days", US_national_yearly!$D:$AM, 10, FALSE), 1)</f>
        <v>0.22960639708396427</v>
      </c>
      <c r="I14" s="7">
        <f>$B14 * IFERROR(VLOOKUP("industry|NOx|Minor restricted activity days", US_national_yearly!$D:$AM, 17, FALSE) / VLOOKUP("industry|NOx|Minor restricted activity days", US_national_yearly!$D:$AM, 10, FALSE), 1)</f>
        <v>0.23081186224846784</v>
      </c>
      <c r="J14" s="7">
        <f>$B14 * IFERROR(VLOOKUP("industry|NOx|Minor restricted activity days", US_national_yearly!$D:$AM, 18, FALSE) / VLOOKUP("industry|NOx|Minor restricted activity days", US_national_yearly!$D:$AM, 10, FALSE), 1)</f>
        <v>0.23201732741297132</v>
      </c>
      <c r="K14" s="7">
        <f>$B14 * IFERROR(VLOOKUP("industry|NOx|Minor restricted activity days", US_national_yearly!$D:$AM, 19, FALSE) / VLOOKUP("industry|NOx|Minor restricted activity days", US_national_yearly!$D:$AM, 10, FALSE), 1)</f>
        <v>0.2332227925774748</v>
      </c>
      <c r="L14" s="7">
        <f>$B14 * IFERROR(VLOOKUP("industry|NOx|Minor restricted activity days", US_national_yearly!$D:$AM, 20, FALSE) / VLOOKUP("industry|NOx|Minor restricted activity days", US_national_yearly!$D:$AM, 10, FALSE), 1)</f>
        <v>0.23442825774197834</v>
      </c>
      <c r="M14" s="7">
        <f>$B14 * IFERROR(VLOOKUP("industry|NOx|Minor restricted activity days", US_national_yearly!$D:$AM, 21, FALSE) / VLOOKUP("industry|NOx|Minor restricted activity days", US_national_yearly!$D:$AM, 10, FALSE), 1)</f>
        <v>0.23563372290648185</v>
      </c>
      <c r="N14" s="7">
        <f>$B14 * IFERROR(VLOOKUP("industry|NOx|Minor restricted activity days", US_national_yearly!$D:$AM, 22, FALSE) / VLOOKUP("industry|NOx|Minor restricted activity days", US_national_yearly!$D:$AM, 10, FALSE), 1)</f>
        <v>0.23736967333120351</v>
      </c>
      <c r="O14" s="7">
        <f>$B14 * IFERROR(VLOOKUP("industry|NOx|Minor restricted activity days", US_national_yearly!$D:$AM, 23, FALSE) / VLOOKUP("industry|NOx|Minor restricted activity days", US_national_yearly!$D:$AM, 10, FALSE), 1)</f>
        <v>0.23910562375592523</v>
      </c>
      <c r="P14" s="7">
        <f>$B14 * IFERROR(VLOOKUP("industry|NOx|Minor restricted activity days", US_national_yearly!$D:$AM, 24, FALSE) / VLOOKUP("industry|NOx|Minor restricted activity days", US_national_yearly!$D:$AM, 10, FALSE), 1)</f>
        <v>0.24084157418064694</v>
      </c>
      <c r="Q14" s="7">
        <f>$B14 * IFERROR(VLOOKUP("industry|NOx|Minor restricted activity days", US_national_yearly!$D:$AM, 25, FALSE) / VLOOKUP("industry|NOx|Minor restricted activity days", US_national_yearly!$D:$AM, 10, FALSE), 1)</f>
        <v>0.24257752460536861</v>
      </c>
      <c r="R14" s="7">
        <f>$B14 * IFERROR(VLOOKUP("industry|NOx|Minor restricted activity days", US_national_yearly!$D:$AM, 26, FALSE) / VLOOKUP("industry|NOx|Minor restricted activity days", US_national_yearly!$D:$AM, 10, FALSE), 1)</f>
        <v>0.24431347503009032</v>
      </c>
      <c r="S14" s="7">
        <f>$B14 * IFERROR(VLOOKUP("industry|NOx|Minor restricted activity days", US_national_yearly!$D:$AM, 27, FALSE) / VLOOKUP("industry|NOx|Minor restricted activity days", US_national_yearly!$D:$AM, 10, FALSE), 1)</f>
        <v>0.24605128402205423</v>
      </c>
      <c r="T14" s="7">
        <f>$B14 * IFERROR(VLOOKUP("industry|NOx|Minor restricted activity days", US_national_yearly!$D:$AM, 28, FALSE) / VLOOKUP("industry|NOx|Minor restricted activity days", US_national_yearly!$D:$AM, 10, FALSE), 1)</f>
        <v>0.24778909301401816</v>
      </c>
      <c r="U14" s="7">
        <f>$B14 * IFERROR(VLOOKUP("industry|NOx|Minor restricted activity days", US_national_yearly!$D:$AM, 29, FALSE) / VLOOKUP("industry|NOx|Minor restricted activity days", US_national_yearly!$D:$AM, 10, FALSE), 1)</f>
        <v>0.24952690200598213</v>
      </c>
      <c r="V14" s="7">
        <f>$B14 * IFERROR(VLOOKUP("industry|NOx|Minor restricted activity days", US_national_yearly!$D:$AM, 30, FALSE) / VLOOKUP("industry|NOx|Minor restricted activity days", US_national_yearly!$D:$AM, 10, FALSE), 1)</f>
        <v>0.25126471099794606</v>
      </c>
      <c r="W14" s="7">
        <f>$B14 * IFERROR(VLOOKUP("industry|NOx|Minor restricted activity days", US_national_yearly!$D:$AM, 31, FALSE) / VLOOKUP("industry|NOx|Minor restricted activity days", US_national_yearly!$D:$AM, 10, FALSE), 1)</f>
        <v>0.25300251998991002</v>
      </c>
      <c r="X14" s="7">
        <f>$B14 * IFERROR(VLOOKUP("industry|NOx|Minor restricted activity days", US_national_yearly!$D:$AM, 32, FALSE) / VLOOKUP("industry|NOx|Minor restricted activity days", US_national_yearly!$D:$AM, 10, FALSE), 1)</f>
        <v>0.25446972675936519</v>
      </c>
      <c r="Y14" s="7">
        <f>$B14 * IFERROR(VLOOKUP("industry|NOx|Minor restricted activity days", US_national_yearly!$D:$AM, 33, FALSE) / VLOOKUP("industry|NOx|Minor restricted activity days", US_national_yearly!$D:$AM, 10, FALSE), 1)</f>
        <v>0.2559369335288203</v>
      </c>
      <c r="Z14" s="7">
        <f>$B14 * IFERROR(VLOOKUP("industry|NOx|Minor restricted activity days", US_national_yearly!$D:$AM, 34, FALSE) / VLOOKUP("industry|NOx|Minor restricted activity days", US_national_yearly!$D:$AM, 10, FALSE), 1)</f>
        <v>0.25740414029827541</v>
      </c>
      <c r="AA14" s="7">
        <f>$B14 * IFERROR(VLOOKUP("industry|NOx|Minor restricted activity days", US_national_yearly!$D:$AM, 35, FALSE) / VLOOKUP("industry|NOx|Minor restricted activity days", US_national_yearly!$D:$AM, 10, FALSE), 1)</f>
        <v>0.25887134706773057</v>
      </c>
      <c r="AB14" s="7">
        <f>$B14 * IFERROR(VLOOKUP("industry|NOx|Minor restricted activity days", US_national_yearly!$D:$AM, 36, FALSE) / VLOOKUP("industry|NOx|Minor restricted activity days", US_national_yearly!$D:$AM, 10, FALSE), 1)</f>
        <v>0.26033855383718574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3.8289877900333114E-2</v>
      </c>
      <c r="C15" s="7">
        <f>$B15 * IFERROR(VLOOKUP("industry|NOx|Work loss days", US_national_yearly!$D:$AM, 11, FALSE) / VLOOKUP("industry|NOx|Work loss days", US_national_yearly!$D:$AM, 10, FALSE), 1)</f>
        <v>3.8372839693533181E-2</v>
      </c>
      <c r="D15" s="7">
        <f>$B15 * IFERROR(VLOOKUP("industry|NOx|Work loss days", US_national_yearly!$D:$AM, 12, FALSE) / VLOOKUP("industry|NOx|Work loss days", US_national_yearly!$D:$AM, 10, FALSE), 1)</f>
        <v>3.8455801486733235E-2</v>
      </c>
      <c r="E15" s="7">
        <f>$B15 * IFERROR(VLOOKUP("industry|NOx|Work loss days", US_national_yearly!$D:$AM, 13, FALSE) / VLOOKUP("industry|NOx|Work loss days", US_national_yearly!$D:$AM, 10, FALSE), 1)</f>
        <v>3.8538763279933302E-2</v>
      </c>
      <c r="F15" s="7">
        <f>$B15 * IFERROR(VLOOKUP("industry|NOx|Work loss days", US_national_yearly!$D:$AM, 14, FALSE) / VLOOKUP("industry|NOx|Work loss days", US_national_yearly!$D:$AM, 10, FALSE), 1)</f>
        <v>3.862172507313337E-2</v>
      </c>
      <c r="G15" s="7">
        <f>$B15 * IFERROR(VLOOKUP("industry|NOx|Work loss days", US_national_yearly!$D:$AM, 15, FALSE) / VLOOKUP("industry|NOx|Work loss days", US_national_yearly!$D:$AM, 10, FALSE), 1)</f>
        <v>3.8743077369162111E-2</v>
      </c>
      <c r="H15" s="7">
        <f>$B15 * IFERROR(VLOOKUP("industry|NOx|Work loss days", US_national_yearly!$D:$AM, 16, FALSE) / VLOOKUP("industry|NOx|Work loss days", US_national_yearly!$D:$AM, 10, FALSE), 1)</f>
        <v>3.8864429665190853E-2</v>
      </c>
      <c r="I15" s="7">
        <f>$B15 * IFERROR(VLOOKUP("industry|NOx|Work loss days", US_national_yearly!$D:$AM, 17, FALSE) / VLOOKUP("industry|NOx|Work loss days", US_national_yearly!$D:$AM, 10, FALSE), 1)</f>
        <v>3.9061596376804258E-2</v>
      </c>
      <c r="J15" s="7">
        <f>$B15 * IFERROR(VLOOKUP("industry|NOx|Work loss days", US_national_yearly!$D:$AM, 18, FALSE) / VLOOKUP("industry|NOx|Work loss days", US_national_yearly!$D:$AM, 10, FALSE), 1)</f>
        <v>3.9258763088417664E-2</v>
      </c>
      <c r="K15" s="7">
        <f>$B15 * IFERROR(VLOOKUP("industry|NOx|Work loss days", US_national_yearly!$D:$AM, 19, FALSE) / VLOOKUP("industry|NOx|Work loss days", US_national_yearly!$D:$AM, 10, FALSE), 1)</f>
        <v>3.945592980003107E-2</v>
      </c>
      <c r="L15" s="7">
        <f>$B15 * IFERROR(VLOOKUP("industry|NOx|Work loss days", US_national_yearly!$D:$AM, 20, FALSE) / VLOOKUP("industry|NOx|Work loss days", US_national_yearly!$D:$AM, 10, FALSE), 1)</f>
        <v>3.9653096511644476E-2</v>
      </c>
      <c r="M15" s="7">
        <f>$B15 * IFERROR(VLOOKUP("industry|NOx|Work loss days", US_national_yearly!$D:$AM, 21, FALSE) / VLOOKUP("industry|NOx|Work loss days", US_national_yearly!$D:$AM, 10, FALSE), 1)</f>
        <v>3.9850263223257881E-2</v>
      </c>
      <c r="N15" s="7">
        <f>$B15 * IFERROR(VLOOKUP("industry|NOx|Work loss days", US_national_yearly!$D:$AM, 22, FALSE) / VLOOKUP("industry|NOx|Work loss days", US_national_yearly!$D:$AM, 10, FALSE), 1)</f>
        <v>4.0108112569220755E-2</v>
      </c>
      <c r="O15" s="7">
        <f>$B15 * IFERROR(VLOOKUP("industry|NOx|Work loss days", US_national_yearly!$D:$AM, 23, FALSE) / VLOOKUP("industry|NOx|Work loss days", US_national_yearly!$D:$AM, 10, FALSE), 1)</f>
        <v>4.0365961915183636E-2</v>
      </c>
      <c r="P15" s="7">
        <f>$B15 * IFERROR(VLOOKUP("industry|NOx|Work loss days", US_national_yearly!$D:$AM, 24, FALSE) / VLOOKUP("industry|NOx|Work loss days", US_national_yearly!$D:$AM, 10, FALSE), 1)</f>
        <v>4.062381126114651E-2</v>
      </c>
      <c r="Q15" s="7">
        <f>$B15 * IFERROR(VLOOKUP("industry|NOx|Work loss days", US_national_yearly!$D:$AM, 25, FALSE) / VLOOKUP("industry|NOx|Work loss days", US_national_yearly!$D:$AM, 10, FALSE), 1)</f>
        <v>4.0881660607109384E-2</v>
      </c>
      <c r="R15" s="7">
        <f>$B15 * IFERROR(VLOOKUP("industry|NOx|Work loss days", US_national_yearly!$D:$AM, 26, FALSE) / VLOOKUP("industry|NOx|Work loss days", US_national_yearly!$D:$AM, 10, FALSE), 1)</f>
        <v>4.1139509953072265E-2</v>
      </c>
      <c r="S15" s="7">
        <f>$B15 * IFERROR(VLOOKUP("industry|NOx|Work loss days", US_national_yearly!$D:$AM, 27, FALSE) / VLOOKUP("industry|NOx|Work loss days", US_national_yearly!$D:$AM, 10, FALSE), 1)</f>
        <v>4.1427769903431937E-2</v>
      </c>
      <c r="T15" s="7">
        <f>$B15 * IFERROR(VLOOKUP("industry|NOx|Work loss days", US_national_yearly!$D:$AM, 28, FALSE) / VLOOKUP("industry|NOx|Work loss days", US_national_yearly!$D:$AM, 10, FALSE), 1)</f>
        <v>4.1716029853791622E-2</v>
      </c>
      <c r="U15" s="7">
        <f>$B15 * IFERROR(VLOOKUP("industry|NOx|Work loss days", US_national_yearly!$D:$AM, 29, FALSE) / VLOOKUP("industry|NOx|Work loss days", US_national_yearly!$D:$AM, 10, FALSE), 1)</f>
        <v>4.2004289804151301E-2</v>
      </c>
      <c r="V15" s="7">
        <f>$B15 * IFERROR(VLOOKUP("industry|NOx|Work loss days", US_national_yearly!$D:$AM, 30, FALSE) / VLOOKUP("industry|NOx|Work loss days", US_national_yearly!$D:$AM, 10, FALSE), 1)</f>
        <v>4.2292549754510973E-2</v>
      </c>
      <c r="W15" s="7">
        <f>$B15 * IFERROR(VLOOKUP("industry|NOx|Work loss days", US_national_yearly!$D:$AM, 31, FALSE) / VLOOKUP("industry|NOx|Work loss days", US_national_yearly!$D:$AM, 10, FALSE), 1)</f>
        <v>4.2580809704870659E-2</v>
      </c>
      <c r="X15" s="7">
        <f>$B15 * IFERROR(VLOOKUP("industry|NOx|Work loss days", US_national_yearly!$D:$AM, 32, FALSE) / VLOOKUP("industry|NOx|Work loss days", US_national_yearly!$D:$AM, 10, FALSE), 1)</f>
        <v>4.2830885264872422E-2</v>
      </c>
      <c r="Y15" s="7">
        <f>$B15 * IFERROR(VLOOKUP("industry|NOx|Work loss days", US_national_yearly!$D:$AM, 33, FALSE) / VLOOKUP("industry|NOx|Work loss days", US_national_yearly!$D:$AM, 10, FALSE), 1)</f>
        <v>4.3080960824874191E-2</v>
      </c>
      <c r="Z15" s="7">
        <f>$B15 * IFERROR(VLOOKUP("industry|NOx|Work loss days", US_national_yearly!$D:$AM, 34, FALSE) / VLOOKUP("industry|NOx|Work loss days", US_national_yearly!$D:$AM, 10, FALSE), 1)</f>
        <v>4.3331036384875954E-2</v>
      </c>
      <c r="AA15" s="7">
        <f>$B15 * IFERROR(VLOOKUP("industry|NOx|Work loss days", US_national_yearly!$D:$AM, 35, FALSE) / VLOOKUP("industry|NOx|Work loss days", US_national_yearly!$D:$AM, 10, FALSE), 1)</f>
        <v>4.3581111944877723E-2</v>
      </c>
      <c r="AB15" s="7">
        <f>$B15 * IFERROR(VLOOKUP("industry|NOx|Work loss days", US_national_yearly!$D:$AM, 36, FALSE) / VLOOKUP("industry|NOx|Work loss days", US_national_yearly!$D:$AM, 10, FALSE), 1)</f>
        <v>4.3831187504879486E-2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7.1931753907216657E-5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7.4043862342692651E-5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7.6155970778168632E-5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7.8268079213644626E-5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8.038018764912062E-5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8.238758651199645E-5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8.4394985374872279E-5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8.6087367865839371E-5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8.7779750356806462E-5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8.947213284777354E-5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9.1164515338740631E-5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9.2856897829707709E-5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9.3916398911790834E-5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9.4975899993873932E-5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9.6035401075957031E-5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9.7094902158040142E-5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9.8154403240123241E-5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9.8643171927109076E-5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9.9131940614094911E-5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9.9620709301080746E-5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1.0010947798806658E-4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1.0059824667505242E-4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1.0087439756732124E-4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1.0115054845959007E-4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1.014266993518589E-4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1.0170285024412772E-4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1.0197900113639655E-4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5.0151488728763472E-3</v>
      </c>
      <c r="C2" s="7">
        <f>$B2 * IFERROR(VLOOKUP("industry|SO2|Premature mortality", US_national_yearly!$D:$AM, 11, FALSE) / VLOOKUP("industry|SO2|Premature mortality", US_national_yearly!$D:$AM, 10, FALSE), 1)</f>
        <v>5.0787254271438421E-3</v>
      </c>
      <c r="D2" s="7">
        <f>$B2 * IFERROR(VLOOKUP("industry|SO2|Premature mortality", US_national_yearly!$D:$AM, 12, FALSE) / VLOOKUP("industry|SO2|Premature mortality", US_national_yearly!$D:$AM, 10, FALSE), 1)</f>
        <v>5.142301981411336E-3</v>
      </c>
      <c r="E2" s="7">
        <f>$B2 * IFERROR(VLOOKUP("industry|SO2|Premature mortality", US_national_yearly!$D:$AM, 13, FALSE) / VLOOKUP("industry|SO2|Premature mortality", US_national_yearly!$D:$AM, 10, FALSE), 1)</f>
        <v>5.2058785356788291E-3</v>
      </c>
      <c r="F2" s="7">
        <f>$B2 * IFERROR(VLOOKUP("industry|SO2|Premature mortality", US_national_yearly!$D:$AM, 14, FALSE) / VLOOKUP("industry|SO2|Premature mortality", US_national_yearly!$D:$AM, 10, FALSE), 1)</f>
        <v>5.269455089946324E-3</v>
      </c>
      <c r="G2" s="7">
        <f>$B2 * IFERROR(VLOOKUP("industry|SO2|Premature mortality", US_national_yearly!$D:$AM, 15, FALSE) / VLOOKUP("industry|SO2|Premature mortality", US_national_yearly!$D:$AM, 10, FALSE), 1)</f>
        <v>5.3919965850996419E-3</v>
      </c>
      <c r="H2" s="7">
        <f>$B2 * IFERROR(VLOOKUP("industry|SO2|Premature mortality", US_national_yearly!$D:$AM, 16, FALSE) / VLOOKUP("industry|SO2|Premature mortality", US_national_yearly!$D:$AM, 10, FALSE), 1)</f>
        <v>5.5145380802529599E-3</v>
      </c>
      <c r="I2" s="7">
        <f>$B2 * IFERROR(VLOOKUP("industry|SO2|Premature mortality", US_national_yearly!$D:$AM, 17, FALSE) / VLOOKUP("industry|SO2|Premature mortality", US_national_yearly!$D:$AM, 10, FALSE), 1)</f>
        <v>5.5956814716820813E-3</v>
      </c>
      <c r="J2" s="7">
        <f>$B2 * IFERROR(VLOOKUP("industry|SO2|Premature mortality", US_national_yearly!$D:$AM, 18, FALSE) / VLOOKUP("industry|SO2|Premature mortality", US_national_yearly!$D:$AM, 10, FALSE), 1)</f>
        <v>5.676824863111201E-3</v>
      </c>
      <c r="K2" s="7">
        <f>$B2 * IFERROR(VLOOKUP("industry|SO2|Premature mortality", US_national_yearly!$D:$AM, 19, FALSE) / VLOOKUP("industry|SO2|Premature mortality", US_national_yearly!$D:$AM, 10, FALSE), 1)</f>
        <v>5.7579682545403216E-3</v>
      </c>
      <c r="L2" s="7">
        <f>$B2 * IFERROR(VLOOKUP("industry|SO2|Premature mortality", US_national_yearly!$D:$AM, 20, FALSE) / VLOOKUP("industry|SO2|Premature mortality", US_national_yearly!$D:$AM, 10, FALSE), 1)</f>
        <v>5.839111645969443E-3</v>
      </c>
      <c r="M2" s="7">
        <f>$B2 * IFERROR(VLOOKUP("industry|SO2|Premature mortality", US_national_yearly!$D:$AM, 21, FALSE) / VLOOKUP("industry|SO2|Premature mortality", US_national_yearly!$D:$AM, 10, FALSE), 1)</f>
        <v>5.9202550373985635E-3</v>
      </c>
      <c r="N2" s="7">
        <f>$B2 * IFERROR(VLOOKUP("industry|SO2|Premature mortality", US_national_yearly!$D:$AM, 22, FALSE) / VLOOKUP("industry|SO2|Premature mortality", US_national_yearly!$D:$AM, 10, FALSE), 1)</f>
        <v>5.9837284622593486E-3</v>
      </c>
      <c r="O2" s="7">
        <f>$B2 * IFERROR(VLOOKUP("industry|SO2|Premature mortality", US_national_yearly!$D:$AM, 23, FALSE) / VLOOKUP("industry|SO2|Premature mortality", US_national_yearly!$D:$AM, 10, FALSE), 1)</f>
        <v>6.0472018871201346E-3</v>
      </c>
      <c r="P2" s="7">
        <f>$B2 * IFERROR(VLOOKUP("industry|SO2|Premature mortality", US_national_yearly!$D:$AM, 24, FALSE) / VLOOKUP("industry|SO2|Premature mortality", US_national_yearly!$D:$AM, 10, FALSE), 1)</f>
        <v>6.1106753119809197E-3</v>
      </c>
      <c r="Q2" s="7">
        <f>$B2 * IFERROR(VLOOKUP("industry|SO2|Premature mortality", US_national_yearly!$D:$AM, 25, FALSE) / VLOOKUP("industry|SO2|Premature mortality", US_national_yearly!$D:$AM, 10, FALSE), 1)</f>
        <v>6.1741487368417057E-3</v>
      </c>
      <c r="R2" s="7">
        <f>$B2 * IFERROR(VLOOKUP("industry|SO2|Premature mortality", US_national_yearly!$D:$AM, 26, FALSE) / VLOOKUP("industry|SO2|Premature mortality", US_national_yearly!$D:$AM, 10, FALSE), 1)</f>
        <v>6.2376221617024916E-3</v>
      </c>
      <c r="S2" s="7">
        <f>$B2 * IFERROR(VLOOKUP("industry|SO2|Premature mortality", US_national_yearly!$D:$AM, 27, FALSE) / VLOOKUP("industry|SO2|Premature mortality", US_national_yearly!$D:$AM, 10, FALSE), 1)</f>
        <v>6.2718943143329417E-3</v>
      </c>
      <c r="T2" s="7">
        <f>$B2 * IFERROR(VLOOKUP("industry|SO2|Premature mortality", US_national_yearly!$D:$AM, 28, FALSE) / VLOOKUP("industry|SO2|Premature mortality", US_national_yearly!$D:$AM, 10, FALSE), 1)</f>
        <v>6.3061664669633935E-3</v>
      </c>
      <c r="U2" s="7">
        <f>$B2 * IFERROR(VLOOKUP("industry|SO2|Premature mortality", US_national_yearly!$D:$AM, 29, FALSE) / VLOOKUP("industry|SO2|Premature mortality", US_national_yearly!$D:$AM, 10, FALSE), 1)</f>
        <v>6.340438619593847E-3</v>
      </c>
      <c r="V2" s="7">
        <f>$B2 * IFERROR(VLOOKUP("industry|SO2|Premature mortality", US_national_yearly!$D:$AM, 30, FALSE) / VLOOKUP("industry|SO2|Premature mortality", US_national_yearly!$D:$AM, 10, FALSE), 1)</f>
        <v>6.3747107722242988E-3</v>
      </c>
      <c r="W2" s="7">
        <f>$B2 * IFERROR(VLOOKUP("industry|SO2|Premature mortality", US_national_yearly!$D:$AM, 31, FALSE) / VLOOKUP("industry|SO2|Premature mortality", US_national_yearly!$D:$AM, 10, FALSE), 1)</f>
        <v>6.4089829248547506E-3</v>
      </c>
      <c r="X2" s="7">
        <f>$B2 * IFERROR(VLOOKUP("industry|SO2|Premature mortality", US_national_yearly!$D:$AM, 32, FALSE) / VLOOKUP("industry|SO2|Premature mortality", US_national_yearly!$D:$AM, 10, FALSE), 1)</f>
        <v>6.4163593378781031E-3</v>
      </c>
      <c r="Y2" s="7">
        <f>$B2 * IFERROR(VLOOKUP("industry|SO2|Premature mortality", US_national_yearly!$D:$AM, 33, FALSE) / VLOOKUP("industry|SO2|Premature mortality", US_national_yearly!$D:$AM, 10, FALSE), 1)</f>
        <v>6.4237357509014563E-3</v>
      </c>
      <c r="Z2" s="7">
        <f>$B2 * IFERROR(VLOOKUP("industry|SO2|Premature mortality", US_national_yearly!$D:$AM, 34, FALSE) / VLOOKUP("industry|SO2|Premature mortality", US_national_yearly!$D:$AM, 10, FALSE), 1)</f>
        <v>6.4311121639248105E-3</v>
      </c>
      <c r="AA2" s="7">
        <f>$B2 * IFERROR(VLOOKUP("industry|SO2|Premature mortality", US_national_yearly!$D:$AM, 35, FALSE) / VLOOKUP("industry|SO2|Premature mortality", US_national_yearly!$D:$AM, 10, FALSE), 1)</f>
        <v>6.4384885769481629E-3</v>
      </c>
      <c r="AB2" s="7">
        <f>$B2 * IFERROR(VLOOKUP("industry|SO2|Premature mortality", US_national_yearly!$D:$AM, 36, FALSE) / VLOOKUP("industry|SO2|Premature mortality", US_national_yearly!$D:$AM, 10, FALSE), 1)</f>
        <v>6.4458649899715153E-3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1.1659961258805774E-5</v>
      </c>
      <c r="C3" s="7">
        <f>$B3 * IFERROR(VLOOKUP("industry|SO2|Infant mortality", US_national_yearly!$D:$AM, 11, FALSE) / VLOOKUP("industry|SO2|Infant mortality", US_national_yearly!$D:$AM, 10, FALSE), 1)</f>
        <v>1.1559649712917837E-5</v>
      </c>
      <c r="D3" s="7">
        <f>$B3 * IFERROR(VLOOKUP("industry|SO2|Infant mortality", US_national_yearly!$D:$AM, 12, FALSE) / VLOOKUP("industry|SO2|Infant mortality", US_national_yearly!$D:$AM, 10, FALSE), 1)</f>
        <v>1.1459338167029903E-5</v>
      </c>
      <c r="E3" s="7">
        <f>$B3 * IFERROR(VLOOKUP("industry|SO2|Infant mortality", US_national_yearly!$D:$AM, 13, FALSE) / VLOOKUP("industry|SO2|Infant mortality", US_national_yearly!$D:$AM, 10, FALSE), 1)</f>
        <v>1.1359026621141966E-5</v>
      </c>
      <c r="F3" s="7">
        <f>$B3 * IFERROR(VLOOKUP("industry|SO2|Infant mortality", US_national_yearly!$D:$AM, 14, FALSE) / VLOOKUP("industry|SO2|Infant mortality", US_national_yearly!$D:$AM, 10, FALSE), 1)</f>
        <v>1.1258715075254031E-5</v>
      </c>
      <c r="G3" s="7">
        <f>$B3 * IFERROR(VLOOKUP("industry|SO2|Infant mortality", US_national_yearly!$D:$AM, 15, FALSE) / VLOOKUP("industry|SO2|Infant mortality", US_national_yearly!$D:$AM, 10, FALSE), 1)</f>
        <v>7.4949080066910116E-6</v>
      </c>
      <c r="H3" s="7">
        <f>$B3 * IFERROR(VLOOKUP("industry|SO2|Infant mortality", US_national_yearly!$D:$AM, 16, FALSE) / VLOOKUP("industry|SO2|Infant mortality", US_national_yearly!$D:$AM, 10, FALSE), 1)</f>
        <v>3.7311009381279921E-6</v>
      </c>
      <c r="I3" s="7">
        <f>$B3 * IFERROR(VLOOKUP("industry|SO2|Infant mortality", US_national_yearly!$D:$AM, 17, FALSE) / VLOOKUP("industry|SO2|Infant mortality", US_national_yearly!$D:$AM, 10, FALSE), 1)</f>
        <v>3.7074087653992106E-6</v>
      </c>
      <c r="J3" s="7">
        <f>$B3 * IFERROR(VLOOKUP("industry|SO2|Infant mortality", US_national_yearly!$D:$AM, 18, FALSE) / VLOOKUP("industry|SO2|Infant mortality", US_national_yearly!$D:$AM, 10, FALSE), 1)</f>
        <v>3.6837165926704292E-6</v>
      </c>
      <c r="K3" s="7">
        <f>$B3 * IFERROR(VLOOKUP("industry|SO2|Infant mortality", US_national_yearly!$D:$AM, 19, FALSE) / VLOOKUP("industry|SO2|Infant mortality", US_national_yearly!$D:$AM, 10, FALSE), 1)</f>
        <v>3.6600244199416477E-6</v>
      </c>
      <c r="L3" s="7">
        <f>$B3 * IFERROR(VLOOKUP("industry|SO2|Infant mortality", US_national_yearly!$D:$AM, 20, FALSE) / VLOOKUP("industry|SO2|Infant mortality", US_national_yearly!$D:$AM, 10, FALSE), 1)</f>
        <v>3.6363322472128662E-6</v>
      </c>
      <c r="M3" s="7">
        <f>$B3 * IFERROR(VLOOKUP("industry|SO2|Infant mortality", US_national_yearly!$D:$AM, 21, FALSE) / VLOOKUP("industry|SO2|Infant mortality", US_national_yearly!$D:$AM, 10, FALSE), 1)</f>
        <v>3.6126400744840847E-6</v>
      </c>
      <c r="N3" s="7">
        <f>$B3 * IFERROR(VLOOKUP("industry|SO2|Infant mortality", US_national_yearly!$D:$AM, 22, FALSE) / VLOOKUP("industry|SO2|Infant mortality", US_national_yearly!$D:$AM, 10, FALSE), 1)</f>
        <v>3.5976238641039951E-6</v>
      </c>
      <c r="O3" s="7">
        <f>$B3 * IFERROR(VLOOKUP("industry|SO2|Infant mortality", US_national_yearly!$D:$AM, 23, FALSE) / VLOOKUP("industry|SO2|Infant mortality", US_national_yearly!$D:$AM, 10, FALSE), 1)</f>
        <v>3.5826076537239056E-6</v>
      </c>
      <c r="P3" s="7">
        <f>$B3 * IFERROR(VLOOKUP("industry|SO2|Infant mortality", US_national_yearly!$D:$AM, 24, FALSE) / VLOOKUP("industry|SO2|Infant mortality", US_national_yearly!$D:$AM, 10, FALSE), 1)</f>
        <v>3.5675914433438161E-6</v>
      </c>
      <c r="Q3" s="7">
        <f>$B3 * IFERROR(VLOOKUP("industry|SO2|Infant mortality", US_national_yearly!$D:$AM, 25, FALSE) / VLOOKUP("industry|SO2|Infant mortality", US_national_yearly!$D:$AM, 10, FALSE), 1)</f>
        <v>3.5525752329637266E-6</v>
      </c>
      <c r="R3" s="7">
        <f>$B3 * IFERROR(VLOOKUP("industry|SO2|Infant mortality", US_national_yearly!$D:$AM, 26, FALSE) / VLOOKUP("industry|SO2|Infant mortality", US_national_yearly!$D:$AM, 10, FALSE), 1)</f>
        <v>3.5375590225836371E-6</v>
      </c>
      <c r="S3" s="7">
        <f>$B3 * IFERROR(VLOOKUP("industry|SO2|Infant mortality", US_national_yearly!$D:$AM, 27, FALSE) / VLOOKUP("industry|SO2|Infant mortality", US_national_yearly!$D:$AM, 10, FALSE), 1)</f>
        <v>3.5188715200658008E-6</v>
      </c>
      <c r="T3" s="7">
        <f>$B3 * IFERROR(VLOOKUP("industry|SO2|Infant mortality", US_national_yearly!$D:$AM, 28, FALSE) / VLOOKUP("industry|SO2|Infant mortality", US_national_yearly!$D:$AM, 10, FALSE), 1)</f>
        <v>3.5001840175479641E-6</v>
      </c>
      <c r="U3" s="7">
        <f>$B3 * IFERROR(VLOOKUP("industry|SO2|Infant mortality", US_national_yearly!$D:$AM, 29, FALSE) / VLOOKUP("industry|SO2|Infant mortality", US_national_yearly!$D:$AM, 10, FALSE), 1)</f>
        <v>3.4814965150301279E-6</v>
      </c>
      <c r="V3" s="7">
        <f>$B3 * IFERROR(VLOOKUP("industry|SO2|Infant mortality", US_national_yearly!$D:$AM, 30, FALSE) / VLOOKUP("industry|SO2|Infant mortality", US_national_yearly!$D:$AM, 10, FALSE), 1)</f>
        <v>3.4628090125122917E-6</v>
      </c>
      <c r="W3" s="7">
        <f>$B3 * IFERROR(VLOOKUP("industry|SO2|Infant mortality", US_national_yearly!$D:$AM, 31, FALSE) / VLOOKUP("industry|SO2|Infant mortality", US_national_yearly!$D:$AM, 10, FALSE), 1)</f>
        <v>3.4441215099944554E-6</v>
      </c>
      <c r="X3" s="7">
        <f>$B3 * IFERROR(VLOOKUP("industry|SO2|Infant mortality", US_national_yearly!$D:$AM, 32, FALSE) / VLOOKUP("industry|SO2|Infant mortality", US_national_yearly!$D:$AM, 10, FALSE), 1)</f>
        <v>3.4238137715024775E-6</v>
      </c>
      <c r="Y3" s="7">
        <f>$B3 * IFERROR(VLOOKUP("industry|SO2|Infant mortality", US_national_yearly!$D:$AM, 33, FALSE) / VLOOKUP("industry|SO2|Infant mortality", US_national_yearly!$D:$AM, 10, FALSE), 1)</f>
        <v>3.4035060330105001E-6</v>
      </c>
      <c r="Z3" s="7">
        <f>$B3 * IFERROR(VLOOKUP("industry|SO2|Infant mortality", US_national_yearly!$D:$AM, 34, FALSE) / VLOOKUP("industry|SO2|Infant mortality", US_national_yearly!$D:$AM, 10, FALSE), 1)</f>
        <v>3.3831982945185227E-6</v>
      </c>
      <c r="AA3" s="7">
        <f>$B3 * IFERROR(VLOOKUP("industry|SO2|Infant mortality", US_national_yearly!$D:$AM, 35, FALSE) / VLOOKUP("industry|SO2|Infant mortality", US_national_yearly!$D:$AM, 10, FALSE), 1)</f>
        <v>3.3628905560265448E-6</v>
      </c>
      <c r="AB3" s="7">
        <f>$B3 * IFERROR(VLOOKUP("industry|SO2|Infant mortality", US_national_yearly!$D:$AM, 36, FALSE) / VLOOKUP("industry|SO2|Infant mortality", US_national_yearly!$D:$AM, 10, FALSE), 1)</f>
        <v>3.3425828175345674E-6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1.0601613298151824E-2</v>
      </c>
      <c r="C6" s="7">
        <f>$B6 * IFERROR(VLOOKUP("industry|SO2|Asthma symptoms cough", US_national_yearly!$D:$AM, 11, FALSE) / VLOOKUP("industry|SO2|Asthma symptoms cough", US_national_yearly!$D:$AM, 10, FALSE), 1)</f>
        <v>1.0601613298151824E-2</v>
      </c>
      <c r="D6" s="7">
        <f>$B6 * IFERROR(VLOOKUP("industry|SO2|Asthma symptoms cough", US_national_yearly!$D:$AM, 12, FALSE) / VLOOKUP("industry|SO2|Asthma symptoms cough", US_national_yearly!$D:$AM, 10, FALSE), 1)</f>
        <v>1.0601613298151824E-2</v>
      </c>
      <c r="E6" s="7">
        <f>$B6 * IFERROR(VLOOKUP("industry|SO2|Asthma symptoms cough", US_national_yearly!$D:$AM, 13, FALSE) / VLOOKUP("industry|SO2|Asthma symptoms cough", US_national_yearly!$D:$AM, 10, FALSE), 1)</f>
        <v>1.0601613298151824E-2</v>
      </c>
      <c r="F6" s="7">
        <f>$B6 * IFERROR(VLOOKUP("industry|SO2|Asthma symptoms cough", US_national_yearly!$D:$AM, 14, FALSE) / VLOOKUP("industry|SO2|Asthma symptoms cough", US_national_yearly!$D:$AM, 10, FALSE), 1)</f>
        <v>1.0601613298151824E-2</v>
      </c>
      <c r="G6" s="7">
        <f>$B6 * IFERROR(VLOOKUP("industry|SO2|Asthma symptoms cough", US_national_yearly!$D:$AM, 15, FALSE) / VLOOKUP("industry|SO2|Asthma symptoms cough", US_national_yearly!$D:$AM, 10, FALSE), 1)</f>
        <v>1.0601613298151824E-2</v>
      </c>
      <c r="H6" s="7">
        <f>$B6 * IFERROR(VLOOKUP("industry|SO2|Asthma symptoms cough", US_national_yearly!$D:$AM, 16, FALSE) / VLOOKUP("industry|SO2|Asthma symptoms cough", US_national_yearly!$D:$AM, 10, FALSE), 1)</f>
        <v>1.0601613298151824E-2</v>
      </c>
      <c r="I6" s="7">
        <f>$B6 * IFERROR(VLOOKUP("industry|SO2|Asthma symptoms cough", US_national_yearly!$D:$AM, 17, FALSE) / VLOOKUP("industry|SO2|Asthma symptoms cough", US_national_yearly!$D:$AM, 10, FALSE), 1)</f>
        <v>1.0601613298151824E-2</v>
      </c>
      <c r="J6" s="7">
        <f>$B6 * IFERROR(VLOOKUP("industry|SO2|Asthma symptoms cough", US_national_yearly!$D:$AM, 18, FALSE) / VLOOKUP("industry|SO2|Asthma symptoms cough", US_national_yearly!$D:$AM, 10, FALSE), 1)</f>
        <v>1.0601613298151824E-2</v>
      </c>
      <c r="K6" s="7">
        <f>$B6 * IFERROR(VLOOKUP("industry|SO2|Asthma symptoms cough", US_national_yearly!$D:$AM, 19, FALSE) / VLOOKUP("industry|SO2|Asthma symptoms cough", US_national_yearly!$D:$AM, 10, FALSE), 1)</f>
        <v>1.0601613298151824E-2</v>
      </c>
      <c r="L6" s="7">
        <f>$B6 * IFERROR(VLOOKUP("industry|SO2|Asthma symptoms cough", US_national_yearly!$D:$AM, 20, FALSE) / VLOOKUP("industry|SO2|Asthma symptoms cough", US_national_yearly!$D:$AM, 10, FALSE), 1)</f>
        <v>1.0601613298151824E-2</v>
      </c>
      <c r="M6" s="7">
        <f>$B6 * IFERROR(VLOOKUP("industry|SO2|Asthma symptoms cough", US_national_yearly!$D:$AM, 21, FALSE) / VLOOKUP("industry|SO2|Asthma symptoms cough", US_national_yearly!$D:$AM, 10, FALSE), 1)</f>
        <v>1.0601613298151824E-2</v>
      </c>
      <c r="N6" s="7">
        <f>$B6 * IFERROR(VLOOKUP("industry|SO2|Asthma symptoms cough", US_national_yearly!$D:$AM, 22, FALSE) / VLOOKUP("industry|SO2|Asthma symptoms cough", US_national_yearly!$D:$AM, 10, FALSE), 1)</f>
        <v>1.0601613298151824E-2</v>
      </c>
      <c r="O6" s="7">
        <f>$B6 * IFERROR(VLOOKUP("industry|SO2|Asthma symptoms cough", US_national_yearly!$D:$AM, 23, FALSE) / VLOOKUP("industry|SO2|Asthma symptoms cough", US_national_yearly!$D:$AM, 10, FALSE), 1)</f>
        <v>1.0601613298151824E-2</v>
      </c>
      <c r="P6" s="7">
        <f>$B6 * IFERROR(VLOOKUP("industry|SO2|Asthma symptoms cough", US_national_yearly!$D:$AM, 24, FALSE) / VLOOKUP("industry|SO2|Asthma symptoms cough", US_national_yearly!$D:$AM, 10, FALSE), 1)</f>
        <v>1.0601613298151824E-2</v>
      </c>
      <c r="Q6" s="7">
        <f>$B6 * IFERROR(VLOOKUP("industry|SO2|Asthma symptoms cough", US_national_yearly!$D:$AM, 25, FALSE) / VLOOKUP("industry|SO2|Asthma symptoms cough", US_national_yearly!$D:$AM, 10, FALSE), 1)</f>
        <v>1.0601613298151824E-2</v>
      </c>
      <c r="R6" s="7">
        <f>$B6 * IFERROR(VLOOKUP("industry|SO2|Asthma symptoms cough", US_national_yearly!$D:$AM, 26, FALSE) / VLOOKUP("industry|SO2|Asthma symptoms cough", US_national_yearly!$D:$AM, 10, FALSE), 1)</f>
        <v>1.0601613298151824E-2</v>
      </c>
      <c r="S6" s="7">
        <f>$B6 * IFERROR(VLOOKUP("industry|SO2|Asthma symptoms cough", US_national_yearly!$D:$AM, 27, FALSE) / VLOOKUP("industry|SO2|Asthma symptoms cough", US_national_yearly!$D:$AM, 10, FALSE), 1)</f>
        <v>1.0601613298151824E-2</v>
      </c>
      <c r="T6" s="7">
        <f>$B6 * IFERROR(VLOOKUP("industry|SO2|Asthma symptoms cough", US_national_yearly!$D:$AM, 28, FALSE) / VLOOKUP("industry|SO2|Asthma symptoms cough", US_national_yearly!$D:$AM, 10, FALSE), 1)</f>
        <v>1.0601613298151824E-2</v>
      </c>
      <c r="U6" s="7">
        <f>$B6 * IFERROR(VLOOKUP("industry|SO2|Asthma symptoms cough", US_national_yearly!$D:$AM, 29, FALSE) / VLOOKUP("industry|SO2|Asthma symptoms cough", US_national_yearly!$D:$AM, 10, FALSE), 1)</f>
        <v>1.0601613298151824E-2</v>
      </c>
      <c r="V6" s="7">
        <f>$B6 * IFERROR(VLOOKUP("industry|SO2|Asthma symptoms cough", US_national_yearly!$D:$AM, 30, FALSE) / VLOOKUP("industry|SO2|Asthma symptoms cough", US_national_yearly!$D:$AM, 10, FALSE), 1)</f>
        <v>1.0601613298151824E-2</v>
      </c>
      <c r="W6" s="7">
        <f>$B6 * IFERROR(VLOOKUP("industry|SO2|Asthma symptoms cough", US_national_yearly!$D:$AM, 31, FALSE) / VLOOKUP("industry|SO2|Asthma symptoms cough", US_national_yearly!$D:$AM, 10, FALSE), 1)</f>
        <v>1.0601613298151824E-2</v>
      </c>
      <c r="X6" s="7">
        <f>$B6 * IFERROR(VLOOKUP("industry|SO2|Asthma symptoms cough", US_national_yearly!$D:$AM, 32, FALSE) / VLOOKUP("industry|SO2|Asthma symptoms cough", US_national_yearly!$D:$AM, 10, FALSE), 1)</f>
        <v>1.0601613298151824E-2</v>
      </c>
      <c r="Y6" s="7">
        <f>$B6 * IFERROR(VLOOKUP("industry|SO2|Asthma symptoms cough", US_national_yearly!$D:$AM, 33, FALSE) / VLOOKUP("industry|SO2|Asthma symptoms cough", US_national_yearly!$D:$AM, 10, FALSE), 1)</f>
        <v>1.0601613298151824E-2</v>
      </c>
      <c r="Z6" s="7">
        <f>$B6 * IFERROR(VLOOKUP("industry|SO2|Asthma symptoms cough", US_national_yearly!$D:$AM, 34, FALSE) / VLOOKUP("industry|SO2|Asthma symptoms cough", US_national_yearly!$D:$AM, 10, FALSE), 1)</f>
        <v>1.0601613298151824E-2</v>
      </c>
      <c r="AA6" s="7">
        <f>$B6 * IFERROR(VLOOKUP("industry|SO2|Asthma symptoms cough", US_national_yearly!$D:$AM, 35, FALSE) / VLOOKUP("industry|SO2|Asthma symptoms cough", US_national_yearly!$D:$AM, 10, FALSE), 1)</f>
        <v>1.0601613298151824E-2</v>
      </c>
      <c r="AB6" s="7">
        <f>$B6 * IFERROR(VLOOKUP("industry|SO2|Asthma symptoms cough", US_national_yearly!$D:$AM, 36, FALSE) / VLOOKUP("industry|SO2|Asthma symptoms cough", US_national_yearly!$D:$AM, 10, FALSE), 1)</f>
        <v>1.0601613298151824E-2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1.4276457217806016E-2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1.4276457217806016E-2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1.4276457217806016E-2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1.4276457217806016E-2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1.4276457217806016E-2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1.4276457217806016E-2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1.4276457217806016E-2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1.4276457217806016E-2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1.4276457217806016E-2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1.4276457217806016E-2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1.4276457217806016E-2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1.4276457217806016E-2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1.4276457217806016E-2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1.4276457217806016E-2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1.4276457217806016E-2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1.4276457217806016E-2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1.4276457217806016E-2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1.4276457217806016E-2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1.4276457217806016E-2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1.4276457217806016E-2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1.4276457217806016E-2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1.4276457217806016E-2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1.4276457217806016E-2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1.4276457217806016E-2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1.4276457217806016E-2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1.4276457217806016E-2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1.4276457217806016E-2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2.1812554310724482E-2</v>
      </c>
      <c r="C8" s="7">
        <f>$B8 * IFERROR(VLOOKUP("industry|SO2|Asthma symptoms wheeze", US_national_yearly!$D:$AM, 11, FALSE) / VLOOKUP("industry|SO2|Asthma symptoms wheeze", US_national_yearly!$D:$AM, 10, FALSE), 1)</f>
        <v>2.1812554310724482E-2</v>
      </c>
      <c r="D8" s="7">
        <f>$B8 * IFERROR(VLOOKUP("industry|SO2|Asthma symptoms wheeze", US_national_yearly!$D:$AM, 12, FALSE) / VLOOKUP("industry|SO2|Asthma symptoms wheeze", US_national_yearly!$D:$AM, 10, FALSE), 1)</f>
        <v>2.1812554310724482E-2</v>
      </c>
      <c r="E8" s="7">
        <f>$B8 * IFERROR(VLOOKUP("industry|SO2|Asthma symptoms wheeze", US_national_yearly!$D:$AM, 13, FALSE) / VLOOKUP("industry|SO2|Asthma symptoms wheeze", US_national_yearly!$D:$AM, 10, FALSE), 1)</f>
        <v>2.1812554310724482E-2</v>
      </c>
      <c r="F8" s="7">
        <f>$B8 * IFERROR(VLOOKUP("industry|SO2|Asthma symptoms wheeze", US_national_yearly!$D:$AM, 14, FALSE) / VLOOKUP("industry|SO2|Asthma symptoms wheeze", US_national_yearly!$D:$AM, 10, FALSE), 1)</f>
        <v>2.1812554310724482E-2</v>
      </c>
      <c r="G8" s="7">
        <f>$B8 * IFERROR(VLOOKUP("industry|SO2|Asthma symptoms wheeze", US_national_yearly!$D:$AM, 15, FALSE) / VLOOKUP("industry|SO2|Asthma symptoms wheeze", US_national_yearly!$D:$AM, 10, FALSE), 1)</f>
        <v>2.1812554310724482E-2</v>
      </c>
      <c r="H8" s="7">
        <f>$B8 * IFERROR(VLOOKUP("industry|SO2|Asthma symptoms wheeze", US_national_yearly!$D:$AM, 16, FALSE) / VLOOKUP("industry|SO2|Asthma symptoms wheeze", US_national_yearly!$D:$AM, 10, FALSE), 1)</f>
        <v>2.1812554310724482E-2</v>
      </c>
      <c r="I8" s="7">
        <f>$B8 * IFERROR(VLOOKUP("industry|SO2|Asthma symptoms wheeze", US_national_yearly!$D:$AM, 17, FALSE) / VLOOKUP("industry|SO2|Asthma symptoms wheeze", US_national_yearly!$D:$AM, 10, FALSE), 1)</f>
        <v>2.1812554310724482E-2</v>
      </c>
      <c r="J8" s="7">
        <f>$B8 * IFERROR(VLOOKUP("industry|SO2|Asthma symptoms wheeze", US_national_yearly!$D:$AM, 18, FALSE) / VLOOKUP("industry|SO2|Asthma symptoms wheeze", US_national_yearly!$D:$AM, 10, FALSE), 1)</f>
        <v>2.1812554310724482E-2</v>
      </c>
      <c r="K8" s="7">
        <f>$B8 * IFERROR(VLOOKUP("industry|SO2|Asthma symptoms wheeze", US_national_yearly!$D:$AM, 19, FALSE) / VLOOKUP("industry|SO2|Asthma symptoms wheeze", US_national_yearly!$D:$AM, 10, FALSE), 1)</f>
        <v>2.1812554310724482E-2</v>
      </c>
      <c r="L8" s="7">
        <f>$B8 * IFERROR(VLOOKUP("industry|SO2|Asthma symptoms wheeze", US_national_yearly!$D:$AM, 20, FALSE) / VLOOKUP("industry|SO2|Asthma symptoms wheeze", US_national_yearly!$D:$AM, 10, FALSE), 1)</f>
        <v>2.1812554310724482E-2</v>
      </c>
      <c r="M8" s="7">
        <f>$B8 * IFERROR(VLOOKUP("industry|SO2|Asthma symptoms wheeze", US_national_yearly!$D:$AM, 21, FALSE) / VLOOKUP("industry|SO2|Asthma symptoms wheeze", US_national_yearly!$D:$AM, 10, FALSE), 1)</f>
        <v>2.1812554310724482E-2</v>
      </c>
      <c r="N8" s="7">
        <f>$B8 * IFERROR(VLOOKUP("industry|SO2|Asthma symptoms wheeze", US_national_yearly!$D:$AM, 22, FALSE) / VLOOKUP("industry|SO2|Asthma symptoms wheeze", US_national_yearly!$D:$AM, 10, FALSE), 1)</f>
        <v>2.1812554310724482E-2</v>
      </c>
      <c r="O8" s="7">
        <f>$B8 * IFERROR(VLOOKUP("industry|SO2|Asthma symptoms wheeze", US_national_yearly!$D:$AM, 23, FALSE) / VLOOKUP("industry|SO2|Asthma symptoms wheeze", US_national_yearly!$D:$AM, 10, FALSE), 1)</f>
        <v>2.1812554310724482E-2</v>
      </c>
      <c r="P8" s="7">
        <f>$B8 * IFERROR(VLOOKUP("industry|SO2|Asthma symptoms wheeze", US_national_yearly!$D:$AM, 24, FALSE) / VLOOKUP("industry|SO2|Asthma symptoms wheeze", US_national_yearly!$D:$AM, 10, FALSE), 1)</f>
        <v>2.1812554310724482E-2</v>
      </c>
      <c r="Q8" s="7">
        <f>$B8 * IFERROR(VLOOKUP("industry|SO2|Asthma symptoms wheeze", US_national_yearly!$D:$AM, 25, FALSE) / VLOOKUP("industry|SO2|Asthma symptoms wheeze", US_national_yearly!$D:$AM, 10, FALSE), 1)</f>
        <v>2.1812554310724482E-2</v>
      </c>
      <c r="R8" s="7">
        <f>$B8 * IFERROR(VLOOKUP("industry|SO2|Asthma symptoms wheeze", US_national_yearly!$D:$AM, 26, FALSE) / VLOOKUP("industry|SO2|Asthma symptoms wheeze", US_national_yearly!$D:$AM, 10, FALSE), 1)</f>
        <v>2.1812554310724482E-2</v>
      </c>
      <c r="S8" s="7">
        <f>$B8 * IFERROR(VLOOKUP("industry|SO2|Asthma symptoms wheeze", US_national_yearly!$D:$AM, 27, FALSE) / VLOOKUP("industry|SO2|Asthma symptoms wheeze", US_national_yearly!$D:$AM, 10, FALSE), 1)</f>
        <v>2.1812554310724482E-2</v>
      </c>
      <c r="T8" s="7">
        <f>$B8 * IFERROR(VLOOKUP("industry|SO2|Asthma symptoms wheeze", US_national_yearly!$D:$AM, 28, FALSE) / VLOOKUP("industry|SO2|Asthma symptoms wheeze", US_national_yearly!$D:$AM, 10, FALSE), 1)</f>
        <v>2.1812554310724482E-2</v>
      </c>
      <c r="U8" s="7">
        <f>$B8 * IFERROR(VLOOKUP("industry|SO2|Asthma symptoms wheeze", US_national_yearly!$D:$AM, 29, FALSE) / VLOOKUP("industry|SO2|Asthma symptoms wheeze", US_national_yearly!$D:$AM, 10, FALSE), 1)</f>
        <v>2.1812554310724482E-2</v>
      </c>
      <c r="V8" s="7">
        <f>$B8 * IFERROR(VLOOKUP("industry|SO2|Asthma symptoms wheeze", US_national_yearly!$D:$AM, 30, FALSE) / VLOOKUP("industry|SO2|Asthma symptoms wheeze", US_national_yearly!$D:$AM, 10, FALSE), 1)</f>
        <v>2.1812554310724482E-2</v>
      </c>
      <c r="W8" s="7">
        <f>$B8 * IFERROR(VLOOKUP("industry|SO2|Asthma symptoms wheeze", US_national_yearly!$D:$AM, 31, FALSE) / VLOOKUP("industry|SO2|Asthma symptoms wheeze", US_national_yearly!$D:$AM, 10, FALSE), 1)</f>
        <v>2.1812554310724482E-2</v>
      </c>
      <c r="X8" s="7">
        <f>$B8 * IFERROR(VLOOKUP("industry|SO2|Asthma symptoms wheeze", US_national_yearly!$D:$AM, 32, FALSE) / VLOOKUP("industry|SO2|Asthma symptoms wheeze", US_national_yearly!$D:$AM, 10, FALSE), 1)</f>
        <v>2.1812554310724482E-2</v>
      </c>
      <c r="Y8" s="7">
        <f>$B8 * IFERROR(VLOOKUP("industry|SO2|Asthma symptoms wheeze", US_national_yearly!$D:$AM, 33, FALSE) / VLOOKUP("industry|SO2|Asthma symptoms wheeze", US_national_yearly!$D:$AM, 10, FALSE), 1)</f>
        <v>2.1812554310724482E-2</v>
      </c>
      <c r="Z8" s="7">
        <f>$B8 * IFERROR(VLOOKUP("industry|SO2|Asthma symptoms wheeze", US_national_yearly!$D:$AM, 34, FALSE) / VLOOKUP("industry|SO2|Asthma symptoms wheeze", US_national_yearly!$D:$AM, 10, FALSE), 1)</f>
        <v>2.1812554310724482E-2</v>
      </c>
      <c r="AA8" s="7">
        <f>$B8 * IFERROR(VLOOKUP("industry|SO2|Asthma symptoms wheeze", US_national_yearly!$D:$AM, 35, FALSE) / VLOOKUP("industry|SO2|Asthma symptoms wheeze", US_national_yearly!$D:$AM, 10, FALSE), 1)</f>
        <v>2.1812554310724482E-2</v>
      </c>
      <c r="AB8" s="7">
        <f>$B8 * IFERROR(VLOOKUP("industry|SO2|Asthma symptoms wheeze", US_national_yearly!$D:$AM, 36, FALSE) / VLOOKUP("industry|SO2|Asthma symptoms wheeze", US_national_yearly!$D:$AM, 10, FALSE), 1)</f>
        <v>2.1812554310724482E-2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3.103606189750074E-4</v>
      </c>
      <c r="C12" s="7">
        <f>$B12 * IFERROR(VLOOKUP("industry|SO2|Respiratory hospital admissions", US_national_yearly!$D:$AM, 11, FALSE) / VLOOKUP("industry|SO2|Respiratory hospital admissions", US_national_yearly!$D:$AM, 10, FALSE), 1)</f>
        <v>3.1217873970777006E-4</v>
      </c>
      <c r="D12" s="7">
        <f>$B12 * IFERROR(VLOOKUP("industry|SO2|Respiratory hospital admissions", US_national_yearly!$D:$AM, 12, FALSE) / VLOOKUP("industry|SO2|Respiratory hospital admissions", US_national_yearly!$D:$AM, 10, FALSE), 1)</f>
        <v>3.1399686044053266E-4</v>
      </c>
      <c r="E12" s="7">
        <f>$B12 * IFERROR(VLOOKUP("industry|SO2|Respiratory hospital admissions", US_national_yearly!$D:$AM, 13, FALSE) / VLOOKUP("industry|SO2|Respiratory hospital admissions", US_national_yearly!$D:$AM, 10, FALSE), 1)</f>
        <v>3.1581498117329532E-4</v>
      </c>
      <c r="F12" s="7">
        <f>$B12 * IFERROR(VLOOKUP("industry|SO2|Respiratory hospital admissions", US_national_yearly!$D:$AM, 14, FALSE) / VLOOKUP("industry|SO2|Respiratory hospital admissions", US_national_yearly!$D:$AM, 10, FALSE), 1)</f>
        <v>3.1763310190605803E-4</v>
      </c>
      <c r="G12" s="7">
        <f>$B12 * IFERROR(VLOOKUP("industry|SO2|Respiratory hospital admissions", US_national_yearly!$D:$AM, 15, FALSE) / VLOOKUP("industry|SO2|Respiratory hospital admissions", US_national_yearly!$D:$AM, 10, FALSE), 1)</f>
        <v>3.1961520520600918E-4</v>
      </c>
      <c r="H12" s="7">
        <f>$B12 * IFERROR(VLOOKUP("industry|SO2|Respiratory hospital admissions", US_national_yearly!$D:$AM, 16, FALSE) / VLOOKUP("industry|SO2|Respiratory hospital admissions", US_national_yearly!$D:$AM, 10, FALSE), 1)</f>
        <v>3.2159730850596032E-4</v>
      </c>
      <c r="I12" s="7">
        <f>$B12 * IFERROR(VLOOKUP("industry|SO2|Respiratory hospital admissions", US_national_yearly!$D:$AM, 17, FALSE) / VLOOKUP("industry|SO2|Respiratory hospital admissions", US_national_yearly!$D:$AM, 10, FALSE), 1)</f>
        <v>3.2354405895421352E-4</v>
      </c>
      <c r="J12" s="7">
        <f>$B12 * IFERROR(VLOOKUP("industry|SO2|Respiratory hospital admissions", US_national_yearly!$D:$AM, 18, FALSE) / VLOOKUP("industry|SO2|Respiratory hospital admissions", US_national_yearly!$D:$AM, 10, FALSE), 1)</f>
        <v>3.2549080940246671E-4</v>
      </c>
      <c r="K12" s="7">
        <f>$B12 * IFERROR(VLOOKUP("industry|SO2|Respiratory hospital admissions", US_national_yearly!$D:$AM, 19, FALSE) / VLOOKUP("industry|SO2|Respiratory hospital admissions", US_national_yearly!$D:$AM, 10, FALSE), 1)</f>
        <v>3.2743755985071985E-4</v>
      </c>
      <c r="L12" s="7">
        <f>$B12 * IFERROR(VLOOKUP("industry|SO2|Respiratory hospital admissions", US_national_yearly!$D:$AM, 20, FALSE) / VLOOKUP("industry|SO2|Respiratory hospital admissions", US_national_yearly!$D:$AM, 10, FALSE), 1)</f>
        <v>3.2938431029897304E-4</v>
      </c>
      <c r="M12" s="7">
        <f>$B12 * IFERROR(VLOOKUP("industry|SO2|Respiratory hospital admissions", US_national_yearly!$D:$AM, 21, FALSE) / VLOOKUP("industry|SO2|Respiratory hospital admissions", US_national_yearly!$D:$AM, 10, FALSE), 1)</f>
        <v>3.3133106074722624E-4</v>
      </c>
      <c r="N12" s="7">
        <f>$B12 * IFERROR(VLOOKUP("industry|SO2|Respiratory hospital admissions", US_national_yearly!$D:$AM, 22, FALSE) / VLOOKUP("industry|SO2|Respiratory hospital admissions", US_national_yearly!$D:$AM, 10, FALSE), 1)</f>
        <v>3.3273975677234875E-4</v>
      </c>
      <c r="O12" s="7">
        <f>$B12 * IFERROR(VLOOKUP("industry|SO2|Respiratory hospital admissions", US_national_yearly!$D:$AM, 23, FALSE) / VLOOKUP("industry|SO2|Respiratory hospital admissions", US_national_yearly!$D:$AM, 10, FALSE), 1)</f>
        <v>3.3414845279747127E-4</v>
      </c>
      <c r="P12" s="7">
        <f>$B12 * IFERROR(VLOOKUP("industry|SO2|Respiratory hospital admissions", US_national_yearly!$D:$AM, 24, FALSE) / VLOOKUP("industry|SO2|Respiratory hospital admissions", US_national_yearly!$D:$AM, 10, FALSE), 1)</f>
        <v>3.3555714882259373E-4</v>
      </c>
      <c r="Q12" s="7">
        <f>$B12 * IFERROR(VLOOKUP("industry|SO2|Respiratory hospital admissions", US_national_yearly!$D:$AM, 25, FALSE) / VLOOKUP("industry|SO2|Respiratory hospital admissions", US_national_yearly!$D:$AM, 10, FALSE), 1)</f>
        <v>3.3696584484771625E-4</v>
      </c>
      <c r="R12" s="7">
        <f>$B12 * IFERROR(VLOOKUP("industry|SO2|Respiratory hospital admissions", US_national_yearly!$D:$AM, 26, FALSE) / VLOOKUP("industry|SO2|Respiratory hospital admissions", US_national_yearly!$D:$AM, 10, FALSE), 1)</f>
        <v>3.3837454087283871E-4</v>
      </c>
      <c r="S12" s="7">
        <f>$B12 * IFERROR(VLOOKUP("industry|SO2|Respiratory hospital admissions", US_national_yearly!$D:$AM, 27, FALSE) / VLOOKUP("industry|SO2|Respiratory hospital admissions", US_national_yearly!$D:$AM, 10, FALSE), 1)</f>
        <v>3.397132911149298E-4</v>
      </c>
      <c r="T12" s="7">
        <f>$B12 * IFERROR(VLOOKUP("industry|SO2|Respiratory hospital admissions", US_national_yearly!$D:$AM, 28, FALSE) / VLOOKUP("industry|SO2|Respiratory hospital admissions", US_national_yearly!$D:$AM, 10, FALSE), 1)</f>
        <v>3.4105204135702089E-4</v>
      </c>
      <c r="U12" s="7">
        <f>$B12 * IFERROR(VLOOKUP("industry|SO2|Respiratory hospital admissions", US_national_yearly!$D:$AM, 29, FALSE) / VLOOKUP("industry|SO2|Respiratory hospital admissions", US_national_yearly!$D:$AM, 10, FALSE), 1)</f>
        <v>3.4239079159911192E-4</v>
      </c>
      <c r="V12" s="7">
        <f>$B12 * IFERROR(VLOOKUP("industry|SO2|Respiratory hospital admissions", US_national_yearly!$D:$AM, 30, FALSE) / VLOOKUP("industry|SO2|Respiratory hospital admissions", US_national_yearly!$D:$AM, 10, FALSE), 1)</f>
        <v>3.4372954184120307E-4</v>
      </c>
      <c r="W12" s="7">
        <f>$B12 * IFERROR(VLOOKUP("industry|SO2|Respiratory hospital admissions", US_national_yearly!$D:$AM, 31, FALSE) / VLOOKUP("industry|SO2|Respiratory hospital admissions", US_national_yearly!$D:$AM, 10, FALSE), 1)</f>
        <v>3.450682920832941E-4</v>
      </c>
      <c r="X12" s="7">
        <f>$B12 * IFERROR(VLOOKUP("industry|SO2|Respiratory hospital admissions", US_national_yearly!$D:$AM, 32, FALSE) / VLOOKUP("industry|SO2|Respiratory hospital admissions", US_national_yearly!$D:$AM, 10, FALSE), 1)</f>
        <v>3.4633958942373912E-4</v>
      </c>
      <c r="Y12" s="7">
        <f>$B12 * IFERROR(VLOOKUP("industry|SO2|Respiratory hospital admissions", US_national_yearly!$D:$AM, 33, FALSE) / VLOOKUP("industry|SO2|Respiratory hospital admissions", US_national_yearly!$D:$AM, 10, FALSE), 1)</f>
        <v>3.4761088676418421E-4</v>
      </c>
      <c r="Z12" s="7">
        <f>$B12 * IFERROR(VLOOKUP("industry|SO2|Respiratory hospital admissions", US_national_yearly!$D:$AM, 34, FALSE) / VLOOKUP("industry|SO2|Respiratory hospital admissions", US_national_yearly!$D:$AM, 10, FALSE), 1)</f>
        <v>3.4888218410462923E-4</v>
      </c>
      <c r="AA12" s="7">
        <f>$B12 * IFERROR(VLOOKUP("industry|SO2|Respiratory hospital admissions", US_national_yearly!$D:$AM, 35, FALSE) / VLOOKUP("industry|SO2|Respiratory hospital admissions", US_national_yearly!$D:$AM, 10, FALSE), 1)</f>
        <v>3.501534814450742E-4</v>
      </c>
      <c r="AB12" s="7">
        <f>$B12 * IFERROR(VLOOKUP("industry|SO2|Respiratory hospital admissions", US_national_yearly!$D:$AM, 36, FALSE) / VLOOKUP("industry|SO2|Respiratory hospital admissions", US_national_yearly!$D:$AM, 10, FALSE), 1)</f>
        <v>3.5142477878551928E-4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1.9132424580403751E-3</v>
      </c>
      <c r="C13" s="7">
        <f>$B13 * IFERROR(VLOOKUP("industry|SO2|Non-fatal heart attacks", US_national_yearly!$D:$AM, 11, FALSE) / VLOOKUP("industry|SO2|Non-fatal heart attacks", US_national_yearly!$D:$AM, 10, FALSE), 1)</f>
        <v>1.9694080820725447E-3</v>
      </c>
      <c r="D13" s="7">
        <f>$B13 * IFERROR(VLOOKUP("industry|SO2|Non-fatal heart attacks", US_national_yearly!$D:$AM, 12, FALSE) / VLOOKUP("industry|SO2|Non-fatal heart attacks", US_national_yearly!$D:$AM, 10, FALSE), 1)</f>
        <v>2.0255737061047148E-3</v>
      </c>
      <c r="E13" s="7">
        <f>$B13 * IFERROR(VLOOKUP("industry|SO2|Non-fatal heart attacks", US_national_yearly!$D:$AM, 13, FALSE) / VLOOKUP("industry|SO2|Non-fatal heart attacks", US_national_yearly!$D:$AM, 10, FALSE), 1)</f>
        <v>2.081739330136884E-3</v>
      </c>
      <c r="F13" s="7">
        <f>$B13 * IFERROR(VLOOKUP("industry|SO2|Non-fatal heart attacks", US_national_yearly!$D:$AM, 14, FALSE) / VLOOKUP("industry|SO2|Non-fatal heart attacks", US_national_yearly!$D:$AM, 10, FALSE), 1)</f>
        <v>2.137904954169054E-3</v>
      </c>
      <c r="G13" s="7">
        <f>$B13 * IFERROR(VLOOKUP("industry|SO2|Non-fatal heart attacks", US_national_yearly!$D:$AM, 15, FALSE) / VLOOKUP("industry|SO2|Non-fatal heart attacks", US_national_yearly!$D:$AM, 10, FALSE), 1)</f>
        <v>2.1909095691240985E-3</v>
      </c>
      <c r="H13" s="7">
        <f>$B13 * IFERROR(VLOOKUP("industry|SO2|Non-fatal heart attacks", US_national_yearly!$D:$AM, 16, FALSE) / VLOOKUP("industry|SO2|Non-fatal heart attacks", US_national_yearly!$D:$AM, 10, FALSE), 1)</f>
        <v>2.2439141840791431E-3</v>
      </c>
      <c r="I13" s="7">
        <f>$B13 * IFERROR(VLOOKUP("industry|SO2|Non-fatal heart attacks", US_national_yearly!$D:$AM, 17, FALSE) / VLOOKUP("industry|SO2|Non-fatal heart attacks", US_national_yearly!$D:$AM, 10, FALSE), 1)</f>
        <v>2.286645078516226E-3</v>
      </c>
      <c r="J13" s="7">
        <f>$B13 * IFERROR(VLOOKUP("industry|SO2|Non-fatal heart attacks", US_national_yearly!$D:$AM, 18, FALSE) / VLOOKUP("industry|SO2|Non-fatal heart attacks", US_national_yearly!$D:$AM, 10, FALSE), 1)</f>
        <v>2.3293759729533093E-3</v>
      </c>
      <c r="K13" s="7">
        <f>$B13 * IFERROR(VLOOKUP("industry|SO2|Non-fatal heart attacks", US_national_yearly!$D:$AM, 19, FALSE) / VLOOKUP("industry|SO2|Non-fatal heart attacks", US_national_yearly!$D:$AM, 10, FALSE), 1)</f>
        <v>2.3721068673903923E-3</v>
      </c>
      <c r="L13" s="7">
        <f>$B13 * IFERROR(VLOOKUP("industry|SO2|Non-fatal heart attacks", US_national_yearly!$D:$AM, 20, FALSE) / VLOOKUP("industry|SO2|Non-fatal heart attacks", US_national_yearly!$D:$AM, 10, FALSE), 1)</f>
        <v>2.4148377618274756E-3</v>
      </c>
      <c r="M13" s="7">
        <f>$B13 * IFERROR(VLOOKUP("industry|SO2|Non-fatal heart attacks", US_national_yearly!$D:$AM, 21, FALSE) / VLOOKUP("industry|SO2|Non-fatal heart attacks", US_national_yearly!$D:$AM, 10, FALSE), 1)</f>
        <v>2.4575686562645586E-3</v>
      </c>
      <c r="N13" s="7">
        <f>$B13 * IFERROR(VLOOKUP("industry|SO2|Non-fatal heart attacks", US_national_yearly!$D:$AM, 22, FALSE) / VLOOKUP("industry|SO2|Non-fatal heart attacks", US_national_yearly!$D:$AM, 10, FALSE), 1)</f>
        <v>2.4853289218185809E-3</v>
      </c>
      <c r="O13" s="7">
        <f>$B13 * IFERROR(VLOOKUP("industry|SO2|Non-fatal heart attacks", US_national_yearly!$D:$AM, 23, FALSE) / VLOOKUP("industry|SO2|Non-fatal heart attacks", US_national_yearly!$D:$AM, 10, FALSE), 1)</f>
        <v>2.5130891873726036E-3</v>
      </c>
      <c r="P13" s="7">
        <f>$B13 * IFERROR(VLOOKUP("industry|SO2|Non-fatal heart attacks", US_national_yearly!$D:$AM, 24, FALSE) / VLOOKUP("industry|SO2|Non-fatal heart attacks", US_national_yearly!$D:$AM, 10, FALSE), 1)</f>
        <v>2.5408494529266254E-3</v>
      </c>
      <c r="Q13" s="7">
        <f>$B13 * IFERROR(VLOOKUP("industry|SO2|Non-fatal heart attacks", US_national_yearly!$D:$AM, 25, FALSE) / VLOOKUP("industry|SO2|Non-fatal heart attacks", US_national_yearly!$D:$AM, 10, FALSE), 1)</f>
        <v>2.5686097184806477E-3</v>
      </c>
      <c r="R13" s="7">
        <f>$B13 * IFERROR(VLOOKUP("industry|SO2|Non-fatal heart attacks", US_national_yearly!$D:$AM, 26, FALSE) / VLOOKUP("industry|SO2|Non-fatal heart attacks", US_national_yearly!$D:$AM, 10, FALSE), 1)</f>
        <v>2.59636998403467E-3</v>
      </c>
      <c r="S13" s="7">
        <f>$B13 * IFERROR(VLOOKUP("industry|SO2|Non-fatal heart attacks", US_national_yearly!$D:$AM, 27, FALSE) / VLOOKUP("industry|SO2|Non-fatal heart attacks", US_national_yearly!$D:$AM, 10, FALSE), 1)</f>
        <v>2.6109500836619232E-3</v>
      </c>
      <c r="T13" s="7">
        <f>$B13 * IFERROR(VLOOKUP("industry|SO2|Non-fatal heart attacks", US_national_yearly!$D:$AM, 28, FALSE) / VLOOKUP("industry|SO2|Non-fatal heart attacks", US_national_yearly!$D:$AM, 10, FALSE), 1)</f>
        <v>2.6255301832891764E-3</v>
      </c>
      <c r="U13" s="7">
        <f>$B13 * IFERROR(VLOOKUP("industry|SO2|Non-fatal heart attacks", US_national_yearly!$D:$AM, 29, FALSE) / VLOOKUP("industry|SO2|Non-fatal heart attacks", US_national_yearly!$D:$AM, 10, FALSE), 1)</f>
        <v>2.6401102829164296E-3</v>
      </c>
      <c r="V13" s="7">
        <f>$B13 * IFERROR(VLOOKUP("industry|SO2|Non-fatal heart attacks", US_national_yearly!$D:$AM, 30, FALSE) / VLOOKUP("industry|SO2|Non-fatal heart attacks", US_national_yearly!$D:$AM, 10, FALSE), 1)</f>
        <v>2.6546903825436833E-3</v>
      </c>
      <c r="W13" s="7">
        <f>$B13 * IFERROR(VLOOKUP("industry|SO2|Non-fatal heart attacks", US_national_yearly!$D:$AM, 31, FALSE) / VLOOKUP("industry|SO2|Non-fatal heart attacks", US_national_yearly!$D:$AM, 10, FALSE), 1)</f>
        <v>2.6692704821709365E-3</v>
      </c>
      <c r="X13" s="7">
        <f>$B13 * IFERROR(VLOOKUP("industry|SO2|Non-fatal heart attacks", US_national_yearly!$D:$AM, 32, FALSE) / VLOOKUP("industry|SO2|Non-fatal heart attacks", US_national_yearly!$D:$AM, 10, FALSE), 1)</f>
        <v>2.6803436470984711E-3</v>
      </c>
      <c r="Y13" s="7">
        <f>$B13 * IFERROR(VLOOKUP("industry|SO2|Non-fatal heart attacks", US_national_yearly!$D:$AM, 33, FALSE) / VLOOKUP("industry|SO2|Non-fatal heart attacks", US_national_yearly!$D:$AM, 10, FALSE), 1)</f>
        <v>2.6914168120260053E-3</v>
      </c>
      <c r="Z13" s="7">
        <f>$B13 * IFERROR(VLOOKUP("industry|SO2|Non-fatal heart attacks", US_national_yearly!$D:$AM, 34, FALSE) / VLOOKUP("industry|SO2|Non-fatal heart attacks", US_national_yearly!$D:$AM, 10, FALSE), 1)</f>
        <v>2.70248997695354E-3</v>
      </c>
      <c r="AA13" s="7">
        <f>$B13 * IFERROR(VLOOKUP("industry|SO2|Non-fatal heart attacks", US_national_yearly!$D:$AM, 35, FALSE) / VLOOKUP("industry|SO2|Non-fatal heart attacks", US_national_yearly!$D:$AM, 10, FALSE), 1)</f>
        <v>2.713563141881075E-3</v>
      </c>
      <c r="AB13" s="7">
        <f>$B13 * IFERROR(VLOOKUP("industry|SO2|Non-fatal heart attacks", US_national_yearly!$D:$AM, 36, FALSE) / VLOOKUP("industry|SO2|Non-fatal heart attacks", US_national_yearly!$D:$AM, 10, FALSE), 1)</f>
        <v>2.7246363068086092E-3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1.3255374375033253</v>
      </c>
      <c r="C14" s="7">
        <f>$B14 * IFERROR(VLOOKUP("industry|SO2|Minor restricted activity days", US_national_yearly!$D:$AM, 11, FALSE) / VLOOKUP("industry|SO2|Minor restricted activity days", US_national_yearly!$D:$AM, 10, FALSE), 1)</f>
        <v>1.3288531223292588</v>
      </c>
      <c r="D14" s="7">
        <f>$B14 * IFERROR(VLOOKUP("industry|SO2|Minor restricted activity days", US_national_yearly!$D:$AM, 12, FALSE) / VLOOKUP("industry|SO2|Minor restricted activity days", US_national_yearly!$D:$AM, 10, FALSE), 1)</f>
        <v>1.3321688071551918</v>
      </c>
      <c r="E14" s="7">
        <f>$B14 * IFERROR(VLOOKUP("industry|SO2|Minor restricted activity days", US_national_yearly!$D:$AM, 13, FALSE) / VLOOKUP("industry|SO2|Minor restricted activity days", US_national_yearly!$D:$AM, 10, FALSE), 1)</f>
        <v>1.3354844919811253</v>
      </c>
      <c r="F14" s="7">
        <f>$B14 * IFERROR(VLOOKUP("industry|SO2|Minor restricted activity days", US_national_yearly!$D:$AM, 14, FALSE) / VLOOKUP("industry|SO2|Minor restricted activity days", US_national_yearly!$D:$AM, 10, FALSE), 1)</f>
        <v>1.3388001768070588</v>
      </c>
      <c r="G14" s="7">
        <f>$B14 * IFERROR(VLOOKUP("industry|SO2|Minor restricted activity days", US_national_yearly!$D:$AM, 15, FALSE) / VLOOKUP("industry|SO2|Minor restricted activity days", US_national_yearly!$D:$AM, 10, FALSE), 1)</f>
        <v>1.3436778651286172</v>
      </c>
      <c r="H14" s="7">
        <f>$B14 * IFERROR(VLOOKUP("industry|SO2|Minor restricted activity days", US_national_yearly!$D:$AM, 16, FALSE) / VLOOKUP("industry|SO2|Minor restricted activity days", US_national_yearly!$D:$AM, 10, FALSE), 1)</f>
        <v>1.3485555534501752</v>
      </c>
      <c r="I14" s="7">
        <f>$B14 * IFERROR(VLOOKUP("industry|SO2|Minor restricted activity days", US_national_yearly!$D:$AM, 17, FALSE) / VLOOKUP("industry|SO2|Minor restricted activity days", US_national_yearly!$D:$AM, 10, FALSE), 1)</f>
        <v>1.3568734874279083</v>
      </c>
      <c r="J14" s="7">
        <f>$B14 * IFERROR(VLOOKUP("industry|SO2|Minor restricted activity days", US_national_yearly!$D:$AM, 18, FALSE) / VLOOKUP("industry|SO2|Minor restricted activity days", US_national_yearly!$D:$AM, 10, FALSE), 1)</f>
        <v>1.3651914214056413</v>
      </c>
      <c r="K14" s="7">
        <f>$B14 * IFERROR(VLOOKUP("industry|SO2|Minor restricted activity days", US_national_yearly!$D:$AM, 19, FALSE) / VLOOKUP("industry|SO2|Minor restricted activity days", US_national_yearly!$D:$AM, 10, FALSE), 1)</f>
        <v>1.3735093553833744</v>
      </c>
      <c r="L14" s="7">
        <f>$B14 * IFERROR(VLOOKUP("industry|SO2|Minor restricted activity days", US_national_yearly!$D:$AM, 20, FALSE) / VLOOKUP("industry|SO2|Minor restricted activity days", US_national_yearly!$D:$AM, 10, FALSE), 1)</f>
        <v>1.3818272893611077</v>
      </c>
      <c r="M14" s="7">
        <f>$B14 * IFERROR(VLOOKUP("industry|SO2|Minor restricted activity days", US_national_yearly!$D:$AM, 21, FALSE) / VLOOKUP("industry|SO2|Minor restricted activity days", US_national_yearly!$D:$AM, 10, FALSE), 1)</f>
        <v>1.3901452233388407</v>
      </c>
      <c r="N14" s="7">
        <f>$B14 * IFERROR(VLOOKUP("industry|SO2|Minor restricted activity days", US_national_yearly!$D:$AM, 22, FALSE) / VLOOKUP("industry|SO2|Minor restricted activity days", US_national_yearly!$D:$AM, 10, FALSE), 1)</f>
        <v>1.4015501111970943</v>
      </c>
      <c r="O14" s="7">
        <f>$B14 * IFERROR(VLOOKUP("industry|SO2|Minor restricted activity days", US_national_yearly!$D:$AM, 23, FALSE) / VLOOKUP("industry|SO2|Minor restricted activity days", US_national_yearly!$D:$AM, 10, FALSE), 1)</f>
        <v>1.412954999055348</v>
      </c>
      <c r="P14" s="7">
        <f>$B14 * IFERROR(VLOOKUP("industry|SO2|Minor restricted activity days", US_national_yearly!$D:$AM, 24, FALSE) / VLOOKUP("industry|SO2|Minor restricted activity days", US_national_yearly!$D:$AM, 10, FALSE), 1)</f>
        <v>1.4243598869136018</v>
      </c>
      <c r="Q14" s="7">
        <f>$B14 * IFERROR(VLOOKUP("industry|SO2|Minor restricted activity days", US_national_yearly!$D:$AM, 25, FALSE) / VLOOKUP("industry|SO2|Minor restricted activity days", US_national_yearly!$D:$AM, 10, FALSE), 1)</f>
        <v>1.4357647747718558</v>
      </c>
      <c r="R14" s="7">
        <f>$B14 * IFERROR(VLOOKUP("industry|SO2|Minor restricted activity days", US_national_yearly!$D:$AM, 26, FALSE) / VLOOKUP("industry|SO2|Minor restricted activity days", US_national_yearly!$D:$AM, 10, FALSE), 1)</f>
        <v>1.4471696626301096</v>
      </c>
      <c r="S14" s="7">
        <f>$B14 * IFERROR(VLOOKUP("industry|SO2|Minor restricted activity days", US_national_yearly!$D:$AM, 27, FALSE) / VLOOKUP("industry|SO2|Minor restricted activity days", US_national_yearly!$D:$AM, 10, FALSE), 1)</f>
        <v>1.4588092717708288</v>
      </c>
      <c r="T14" s="7">
        <f>$B14 * IFERROR(VLOOKUP("industry|SO2|Minor restricted activity days", US_national_yearly!$D:$AM, 28, FALSE) / VLOOKUP("industry|SO2|Minor restricted activity days", US_national_yearly!$D:$AM, 10, FALSE), 1)</f>
        <v>1.4704488809115484</v>
      </c>
      <c r="U14" s="7">
        <f>$B14 * IFERROR(VLOOKUP("industry|SO2|Minor restricted activity days", US_national_yearly!$D:$AM, 29, FALSE) / VLOOKUP("industry|SO2|Minor restricted activity days", US_national_yearly!$D:$AM, 10, FALSE), 1)</f>
        <v>1.4820884900522677</v>
      </c>
      <c r="V14" s="7">
        <f>$B14 * IFERROR(VLOOKUP("industry|SO2|Minor restricted activity days", US_national_yearly!$D:$AM, 30, FALSE) / VLOOKUP("industry|SO2|Minor restricted activity days", US_national_yearly!$D:$AM, 10, FALSE), 1)</f>
        <v>1.4937280991929873</v>
      </c>
      <c r="W14" s="7">
        <f>$B14 * IFERROR(VLOOKUP("industry|SO2|Minor restricted activity days", US_national_yearly!$D:$AM, 31, FALSE) / VLOOKUP("industry|SO2|Minor restricted activity days", US_national_yearly!$D:$AM, 10, FALSE), 1)</f>
        <v>1.5053677083337067</v>
      </c>
      <c r="X14" s="7">
        <f>$B14 * IFERROR(VLOOKUP("industry|SO2|Minor restricted activity days", US_national_yearly!$D:$AM, 32, FALSE) / VLOOKUP("industry|SO2|Minor restricted activity days", US_national_yearly!$D:$AM, 10, FALSE), 1)</f>
        <v>1.515602324784677</v>
      </c>
      <c r="Y14" s="7">
        <f>$B14 * IFERROR(VLOOKUP("industry|SO2|Minor restricted activity days", US_national_yearly!$D:$AM, 33, FALSE) / VLOOKUP("industry|SO2|Minor restricted activity days", US_national_yearly!$D:$AM, 10, FALSE), 1)</f>
        <v>1.5258369412356472</v>
      </c>
      <c r="Z14" s="7">
        <f>$B14 * IFERROR(VLOOKUP("industry|SO2|Minor restricted activity days", US_national_yearly!$D:$AM, 34, FALSE) / VLOOKUP("industry|SO2|Minor restricted activity days", US_national_yearly!$D:$AM, 10, FALSE), 1)</f>
        <v>1.5360715576866173</v>
      </c>
      <c r="AA14" s="7">
        <f>$B14 * IFERROR(VLOOKUP("industry|SO2|Minor restricted activity days", US_national_yearly!$D:$AM, 35, FALSE) / VLOOKUP("industry|SO2|Minor restricted activity days", US_national_yearly!$D:$AM, 10, FALSE), 1)</f>
        <v>1.5463061741375874</v>
      </c>
      <c r="AB14" s="7">
        <f>$B14 * IFERROR(VLOOKUP("industry|SO2|Minor restricted activity days", US_national_yearly!$D:$AM, 36, FALSE) / VLOOKUP("industry|SO2|Minor restricted activity days", US_national_yearly!$D:$AM, 10, FALSE), 1)</f>
        <v>1.556540790588558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0.22324315747284082</v>
      </c>
      <c r="C15" s="7">
        <f>$B15 * IFERROR(VLOOKUP("industry|SO2|Work loss days", US_national_yearly!$D:$AM, 11, FALSE) / VLOOKUP("industry|SO2|Work loss days", US_national_yearly!$D:$AM, 10, FALSE), 1)</f>
        <v>0.22396108224596015</v>
      </c>
      <c r="D15" s="7">
        <f>$B15 * IFERROR(VLOOKUP("industry|SO2|Work loss days", US_national_yearly!$D:$AM, 12, FALSE) / VLOOKUP("industry|SO2|Work loss days", US_national_yearly!$D:$AM, 10, FALSE), 1)</f>
        <v>0.22467900701907959</v>
      </c>
      <c r="E15" s="7">
        <f>$B15 * IFERROR(VLOOKUP("industry|SO2|Work loss days", US_national_yearly!$D:$AM, 13, FALSE) / VLOOKUP("industry|SO2|Work loss days", US_national_yearly!$D:$AM, 10, FALSE), 1)</f>
        <v>0.22539693179219891</v>
      </c>
      <c r="F15" s="7">
        <f>$B15 * IFERROR(VLOOKUP("industry|SO2|Work loss days", US_national_yearly!$D:$AM, 14, FALSE) / VLOOKUP("industry|SO2|Work loss days", US_national_yearly!$D:$AM, 10, FALSE), 1)</f>
        <v>0.22611485656531835</v>
      </c>
      <c r="G15" s="7">
        <f>$B15 * IFERROR(VLOOKUP("industry|SO2|Work loss days", US_national_yearly!$D:$AM, 15, FALSE) / VLOOKUP("industry|SO2|Work loss days", US_national_yearly!$D:$AM, 10, FALSE), 1)</f>
        <v>0.22705194240494389</v>
      </c>
      <c r="H15" s="7">
        <f>$B15 * IFERROR(VLOOKUP("industry|SO2|Work loss days", US_national_yearly!$D:$AM, 16, FALSE) / VLOOKUP("industry|SO2|Work loss days", US_national_yearly!$D:$AM, 10, FALSE), 1)</f>
        <v>0.22798902824456951</v>
      </c>
      <c r="I15" s="7">
        <f>$B15 * IFERROR(VLOOKUP("industry|SO2|Work loss days", US_national_yearly!$D:$AM, 17, FALSE) / VLOOKUP("industry|SO2|Work loss days", US_national_yearly!$D:$AM, 10, FALSE), 1)</f>
        <v>0.22935878368455434</v>
      </c>
      <c r="J15" s="7">
        <f>$B15 * IFERROR(VLOOKUP("industry|SO2|Work loss days", US_national_yearly!$D:$AM, 18, FALSE) / VLOOKUP("industry|SO2|Work loss days", US_national_yearly!$D:$AM, 10, FALSE), 1)</f>
        <v>0.23072853912453911</v>
      </c>
      <c r="K15" s="7">
        <f>$B15 * IFERROR(VLOOKUP("industry|SO2|Work loss days", US_national_yearly!$D:$AM, 19, FALSE) / VLOOKUP("industry|SO2|Work loss days", US_national_yearly!$D:$AM, 10, FALSE), 1)</f>
        <v>0.23209829456452388</v>
      </c>
      <c r="L15" s="7">
        <f>$B15 * IFERROR(VLOOKUP("industry|SO2|Work loss days", US_national_yearly!$D:$AM, 20, FALSE) / VLOOKUP("industry|SO2|Work loss days", US_national_yearly!$D:$AM, 10, FALSE), 1)</f>
        <v>0.23346805000450871</v>
      </c>
      <c r="M15" s="7">
        <f>$B15 * IFERROR(VLOOKUP("industry|SO2|Work loss days", US_national_yearly!$D:$AM, 21, FALSE) / VLOOKUP("industry|SO2|Work loss days", US_national_yearly!$D:$AM, 10, FALSE), 1)</f>
        <v>0.23483780544449351</v>
      </c>
      <c r="N15" s="7">
        <f>$B15 * IFERROR(VLOOKUP("industry|SO2|Work loss days", US_national_yearly!$D:$AM, 22, FALSE) / VLOOKUP("industry|SO2|Work loss days", US_national_yearly!$D:$AM, 10, FALSE), 1)</f>
        <v>0.23655938637807264</v>
      </c>
      <c r="O15" s="7">
        <f>$B15 * IFERROR(VLOOKUP("industry|SO2|Work loss days", US_national_yearly!$D:$AM, 23, FALSE) / VLOOKUP("industry|SO2|Work loss days", US_national_yearly!$D:$AM, 10, FALSE), 1)</f>
        <v>0.23828096731165177</v>
      </c>
      <c r="P15" s="7">
        <f>$B15 * IFERROR(VLOOKUP("industry|SO2|Work loss days", US_national_yearly!$D:$AM, 24, FALSE) / VLOOKUP("industry|SO2|Work loss days", US_national_yearly!$D:$AM, 10, FALSE), 1)</f>
        <v>0.24000254824523093</v>
      </c>
      <c r="Q15" s="7">
        <f>$B15 * IFERROR(VLOOKUP("industry|SO2|Work loss days", US_national_yearly!$D:$AM, 25, FALSE) / VLOOKUP("industry|SO2|Work loss days", US_national_yearly!$D:$AM, 10, FALSE), 1)</f>
        <v>0.24172412917881006</v>
      </c>
      <c r="R15" s="7">
        <f>$B15 * IFERROR(VLOOKUP("industry|SO2|Work loss days", US_national_yearly!$D:$AM, 26, FALSE) / VLOOKUP("industry|SO2|Work loss days", US_national_yearly!$D:$AM, 10, FALSE), 1)</f>
        <v>0.24344571011238922</v>
      </c>
      <c r="S15" s="7">
        <f>$B15 * IFERROR(VLOOKUP("industry|SO2|Work loss days", US_national_yearly!$D:$AM, 27, FALSE) / VLOOKUP("industry|SO2|Work loss days", US_national_yearly!$D:$AM, 10, FALSE), 1)</f>
        <v>0.24537208822620427</v>
      </c>
      <c r="T15" s="7">
        <f>$B15 * IFERROR(VLOOKUP("industry|SO2|Work loss days", US_national_yearly!$D:$AM, 28, FALSE) / VLOOKUP("industry|SO2|Work loss days", US_national_yearly!$D:$AM, 10, FALSE), 1)</f>
        <v>0.24729846634001934</v>
      </c>
      <c r="U15" s="7">
        <f>$B15 * IFERROR(VLOOKUP("industry|SO2|Work loss days", US_national_yearly!$D:$AM, 29, FALSE) / VLOOKUP("industry|SO2|Work loss days", US_national_yearly!$D:$AM, 10, FALSE), 1)</f>
        <v>0.2492248444538345</v>
      </c>
      <c r="V15" s="7">
        <f>$B15 * IFERROR(VLOOKUP("industry|SO2|Work loss days", US_national_yearly!$D:$AM, 30, FALSE) / VLOOKUP("industry|SO2|Work loss days", US_national_yearly!$D:$AM, 10, FALSE), 1)</f>
        <v>0.25115122256764955</v>
      </c>
      <c r="W15" s="7">
        <f>$B15 * IFERROR(VLOOKUP("industry|SO2|Work loss days", US_national_yearly!$D:$AM, 31, FALSE) / VLOOKUP("industry|SO2|Work loss days", US_national_yearly!$D:$AM, 10, FALSE), 1)</f>
        <v>0.25307760068146462</v>
      </c>
      <c r="X15" s="7">
        <f>$B15 * IFERROR(VLOOKUP("industry|SO2|Work loss days", US_national_yearly!$D:$AM, 32, FALSE) / VLOOKUP("industry|SO2|Work loss days", US_national_yearly!$D:$AM, 10, FALSE), 1)</f>
        <v>0.25480782128622342</v>
      </c>
      <c r="Y15" s="7">
        <f>$B15 * IFERROR(VLOOKUP("industry|SO2|Work loss days", US_national_yearly!$D:$AM, 33, FALSE) / VLOOKUP("industry|SO2|Work loss days", US_national_yearly!$D:$AM, 10, FALSE), 1)</f>
        <v>0.25653804189098228</v>
      </c>
      <c r="Z15" s="7">
        <f>$B15 * IFERROR(VLOOKUP("industry|SO2|Work loss days", US_national_yearly!$D:$AM, 34, FALSE) / VLOOKUP("industry|SO2|Work loss days", US_national_yearly!$D:$AM, 10, FALSE), 1)</f>
        <v>0.25826826249574103</v>
      </c>
      <c r="AA15" s="7">
        <f>$B15 * IFERROR(VLOOKUP("industry|SO2|Work loss days", US_national_yearly!$D:$AM, 35, FALSE) / VLOOKUP("industry|SO2|Work loss days", US_national_yearly!$D:$AM, 10, FALSE), 1)</f>
        <v>0.25999848310049983</v>
      </c>
      <c r="AB15" s="7">
        <f>$B15 * IFERROR(VLOOKUP("industry|SO2|Work loss days", US_national_yearly!$D:$AM, 36, FALSE) / VLOOKUP("industry|SO2|Work loss days", US_national_yearly!$D:$AM, 10, FALSE), 1)</f>
        <v>0.26172870370525864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4.4287827377243263E-4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4.5626967116895405E-4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4.6966106856547552E-4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4.8305246596199705E-4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4.9644386335851852E-4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5.0927765221950988E-4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5.2211144108050113E-4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5.3312328131796831E-4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5.4413512155543548E-4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5.5514696179290277E-4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5.6615880203036994E-4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5.7717064226783712E-4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5.845689934558671E-4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5.9196734464389718E-4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5.9936569583192716E-4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6.0676404701995724E-4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6.1416239820798733E-4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6.1807435949391405E-4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6.2198632077984099E-4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6.2589828206576783E-4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6.2981024335169477E-4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6.337222046376216E-4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6.3636772767382526E-4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6.3901325071002893E-4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6.416587737462327E-4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6.4430429678243647E-4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6.4694981981864002E-4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8.4184370692287809E-4</v>
      </c>
      <c r="C2" s="7">
        <f>$B2 * IFERROR(VLOOKUP("LULUCF|PM25|Premature mortality", US_national_yearly!$D:$AM, 11, FALSE) / VLOOKUP("LULUCF|PM25|Premature mortality", US_national_yearly!$D:$AM, 10, FALSE), 1)</f>
        <v>8.5228072399991109E-4</v>
      </c>
      <c r="D2" s="7">
        <f>$B2 * IFERROR(VLOOKUP("LULUCF|PM25|Premature mortality", US_national_yearly!$D:$AM, 12, FALSE) / VLOOKUP("LULUCF|PM25|Premature mortality", US_national_yearly!$D:$AM, 10, FALSE), 1)</f>
        <v>8.6271774107694399E-4</v>
      </c>
      <c r="E2" s="7">
        <f>$B2 * IFERROR(VLOOKUP("LULUCF|PM25|Premature mortality", US_national_yearly!$D:$AM, 13, FALSE) / VLOOKUP("LULUCF|PM25|Premature mortality", US_national_yearly!$D:$AM, 10, FALSE), 1)</f>
        <v>8.7315475815397678E-4</v>
      </c>
      <c r="F2" s="7">
        <f>$B2 * IFERROR(VLOOKUP("LULUCF|PM25|Premature mortality", US_national_yearly!$D:$AM, 14, FALSE) / VLOOKUP("LULUCF|PM25|Premature mortality", US_national_yearly!$D:$AM, 10, FALSE), 1)</f>
        <v>8.8359177523100968E-4</v>
      </c>
      <c r="G2" s="7">
        <f>$B2 * IFERROR(VLOOKUP("LULUCF|PM25|Premature mortality", US_national_yearly!$D:$AM, 15, FALSE) / VLOOKUP("LULUCF|PM25|Premature mortality", US_national_yearly!$D:$AM, 10, FALSE), 1)</f>
        <v>9.0391778727441174E-4</v>
      </c>
      <c r="H2" s="7">
        <f>$B2 * IFERROR(VLOOKUP("LULUCF|PM25|Premature mortality", US_national_yearly!$D:$AM, 16, FALSE) / VLOOKUP("LULUCF|PM25|Premature mortality", US_national_yearly!$D:$AM, 10, FALSE), 1)</f>
        <v>9.2424379931781381E-4</v>
      </c>
      <c r="I2" s="7">
        <f>$B2 * IFERROR(VLOOKUP("LULUCF|PM25|Premature mortality", US_national_yearly!$D:$AM, 17, FALSE) / VLOOKUP("LULUCF|PM25|Premature mortality", US_national_yearly!$D:$AM, 10, FALSE), 1)</f>
        <v>9.3759477965415009E-4</v>
      </c>
      <c r="J2" s="7">
        <f>$B2 * IFERROR(VLOOKUP("LULUCF|PM25|Premature mortality", US_national_yearly!$D:$AM, 18, FALSE) / VLOOKUP("LULUCF|PM25|Premature mortality", US_national_yearly!$D:$AM, 10, FALSE), 1)</f>
        <v>9.5094575999048669E-4</v>
      </c>
      <c r="K2" s="7">
        <f>$B2 * IFERROR(VLOOKUP("LULUCF|PM25|Premature mortality", US_national_yearly!$D:$AM, 19, FALSE) / VLOOKUP("LULUCF|PM25|Premature mortality", US_national_yearly!$D:$AM, 10, FALSE), 1)</f>
        <v>9.6429674032682308E-4</v>
      </c>
      <c r="L2" s="7">
        <f>$B2 * IFERROR(VLOOKUP("LULUCF|PM25|Premature mortality", US_national_yearly!$D:$AM, 20, FALSE) / VLOOKUP("LULUCF|PM25|Premature mortality", US_national_yearly!$D:$AM, 10, FALSE), 1)</f>
        <v>9.7764772066315968E-4</v>
      </c>
      <c r="M2" s="7">
        <f>$B2 * IFERROR(VLOOKUP("LULUCF|PM25|Premature mortality", US_national_yearly!$D:$AM, 21, FALSE) / VLOOKUP("LULUCF|PM25|Premature mortality", US_national_yearly!$D:$AM, 10, FALSE), 1)</f>
        <v>9.9099870099949618E-4</v>
      </c>
      <c r="N2" s="7">
        <f>$B2 * IFERROR(VLOOKUP("LULUCF|PM25|Premature mortality", US_national_yearly!$D:$AM, 22, FALSE) / VLOOKUP("LULUCF|PM25|Premature mortality", US_national_yearly!$D:$AM, 10, FALSE), 1)</f>
        <v>1.0013648875203426E-3</v>
      </c>
      <c r="O2" s="7">
        <f>$B2 * IFERROR(VLOOKUP("LULUCF|PM25|Premature mortality", US_national_yearly!$D:$AM, 23, FALSE) / VLOOKUP("LULUCF|PM25|Premature mortality", US_national_yearly!$D:$AM, 10, FALSE), 1)</f>
        <v>1.0117310740411893E-3</v>
      </c>
      <c r="P2" s="7">
        <f>$B2 * IFERROR(VLOOKUP("LULUCF|PM25|Premature mortality", US_national_yearly!$D:$AM, 24, FALSE) / VLOOKUP("LULUCF|PM25|Premature mortality", US_national_yearly!$D:$AM, 10, FALSE), 1)</f>
        <v>1.0220972605620357E-3</v>
      </c>
      <c r="Q2" s="7">
        <f>$B2 * IFERROR(VLOOKUP("LULUCF|PM25|Premature mortality", US_national_yearly!$D:$AM, 25, FALSE) / VLOOKUP("LULUCF|PM25|Premature mortality", US_national_yearly!$D:$AM, 10, FALSE), 1)</f>
        <v>1.0324634470828824E-3</v>
      </c>
      <c r="R2" s="7">
        <f>$B2 * IFERROR(VLOOKUP("LULUCF|PM25|Premature mortality", US_national_yearly!$D:$AM, 26, FALSE) / VLOOKUP("LULUCF|PM25|Premature mortality", US_national_yearly!$D:$AM, 10, FALSE), 1)</f>
        <v>1.0428296336037291E-3</v>
      </c>
      <c r="S2" s="7">
        <f>$B2 * IFERROR(VLOOKUP("LULUCF|PM25|Premature mortality", US_national_yearly!$D:$AM, 27, FALSE) / VLOOKUP("LULUCF|PM25|Premature mortality", US_national_yearly!$D:$AM, 10, FALSE), 1)</f>
        <v>1.0483213312328067E-3</v>
      </c>
      <c r="T2" s="7">
        <f>$B2 * IFERROR(VLOOKUP("LULUCF|PM25|Premature mortality", US_national_yearly!$D:$AM, 28, FALSE) / VLOOKUP("LULUCF|PM25|Premature mortality", US_national_yearly!$D:$AM, 10, FALSE), 1)</f>
        <v>1.053813028861884E-3</v>
      </c>
      <c r="U2" s="7">
        <f>$B2 * IFERROR(VLOOKUP("LULUCF|PM25|Premature mortality", US_national_yearly!$D:$AM, 29, FALSE) / VLOOKUP("LULUCF|PM25|Premature mortality", US_national_yearly!$D:$AM, 10, FALSE), 1)</f>
        <v>1.0593047264909612E-3</v>
      </c>
      <c r="V2" s="7">
        <f>$B2 * IFERROR(VLOOKUP("LULUCF|PM25|Premature mortality", US_national_yearly!$D:$AM, 30, FALSE) / VLOOKUP("LULUCF|PM25|Premature mortality", US_national_yearly!$D:$AM, 10, FALSE), 1)</f>
        <v>1.0647964241200386E-3</v>
      </c>
      <c r="W2" s="7">
        <f>$B2 * IFERROR(VLOOKUP("LULUCF|PM25|Premature mortality", US_national_yearly!$D:$AM, 31, FALSE) / VLOOKUP("LULUCF|PM25|Premature mortality", US_national_yearly!$D:$AM, 10, FALSE), 1)</f>
        <v>1.070288121749116E-3</v>
      </c>
      <c r="X2" s="7">
        <f>$B2 * IFERROR(VLOOKUP("LULUCF|PM25|Premature mortality", US_national_yearly!$D:$AM, 32, FALSE) / VLOOKUP("LULUCF|PM25|Premature mortality", US_national_yearly!$D:$AM, 10, FALSE), 1)</f>
        <v>1.0712483875607842E-3</v>
      </c>
      <c r="Y2" s="7">
        <f>$B2 * IFERROR(VLOOKUP("LULUCF|PM25|Premature mortality", US_national_yearly!$D:$AM, 33, FALSE) / VLOOKUP("LULUCF|PM25|Premature mortality", US_national_yearly!$D:$AM, 10, FALSE), 1)</f>
        <v>1.0722086533724526E-3</v>
      </c>
      <c r="Z2" s="7">
        <f>$B2 * IFERROR(VLOOKUP("LULUCF|PM25|Premature mortality", US_national_yearly!$D:$AM, 34, FALSE) / VLOOKUP("LULUCF|PM25|Premature mortality", US_national_yearly!$D:$AM, 10, FALSE), 1)</f>
        <v>1.0731689191841207E-3</v>
      </c>
      <c r="AA2" s="7">
        <f>$B2 * IFERROR(VLOOKUP("LULUCF|PM25|Premature mortality", US_national_yearly!$D:$AM, 35, FALSE) / VLOOKUP("LULUCF|PM25|Premature mortality", US_national_yearly!$D:$AM, 10, FALSE), 1)</f>
        <v>1.0741291849957891E-3</v>
      </c>
      <c r="AB2" s="7">
        <f>$B2 * IFERROR(VLOOKUP("LULUCF|PM25|Premature mortality", US_national_yearly!$D:$AM, 36, FALSE) / VLOOKUP("LULUCF|PM25|Premature mortality", US_national_yearly!$D:$AM, 10, FALSE), 1)</f>
        <v>1.0750894508074573E-3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2.1704854504340351E-6</v>
      </c>
      <c r="C3" s="7">
        <f>$B3 * IFERROR(VLOOKUP("LULUCF|PM25|Infant mortality", US_national_yearly!$D:$AM, 11, FALSE) / VLOOKUP("LULUCF|PM25|Infant mortality", US_national_yearly!$D:$AM, 10, FALSE), 1)</f>
        <v>2.1515607978883409E-6</v>
      </c>
      <c r="D3" s="7">
        <f>$B3 * IFERROR(VLOOKUP("LULUCF|PM25|Infant mortality", US_national_yearly!$D:$AM, 12, FALSE) / VLOOKUP("LULUCF|PM25|Infant mortality", US_national_yearly!$D:$AM, 10, FALSE), 1)</f>
        <v>2.1326361453426467E-6</v>
      </c>
      <c r="E3" s="7">
        <f>$B3 * IFERROR(VLOOKUP("LULUCF|PM25|Infant mortality", US_national_yearly!$D:$AM, 13, FALSE) / VLOOKUP("LULUCF|PM25|Infant mortality", US_national_yearly!$D:$AM, 10, FALSE), 1)</f>
        <v>2.1137114927969529E-6</v>
      </c>
      <c r="F3" s="7">
        <f>$B3 * IFERROR(VLOOKUP("LULUCF|PM25|Infant mortality", US_national_yearly!$D:$AM, 14, FALSE) / VLOOKUP("LULUCF|PM25|Infant mortality", US_national_yearly!$D:$AM, 10, FALSE), 1)</f>
        <v>2.0947868402512583E-6</v>
      </c>
      <c r="G3" s="7">
        <f>$B3 * IFERROR(VLOOKUP("LULUCF|PM25|Infant mortality", US_national_yearly!$D:$AM, 15, FALSE) / VLOOKUP("LULUCF|PM25|Infant mortality", US_national_yearly!$D:$AM, 10, FALSE), 1)</f>
        <v>1.3931453030127508E-6</v>
      </c>
      <c r="H3" s="7">
        <f>$B3 * IFERROR(VLOOKUP("LULUCF|PM25|Infant mortality", US_national_yearly!$D:$AM, 16, FALSE) / VLOOKUP("LULUCF|PM25|Infant mortality", US_national_yearly!$D:$AM, 10, FALSE), 1)</f>
        <v>6.9150376577424271E-7</v>
      </c>
      <c r="I3" s="7">
        <f>$B3 * IFERROR(VLOOKUP("LULUCF|PM25|Infant mortality", US_national_yearly!$D:$AM, 17, FALSE) / VLOOKUP("LULUCF|PM25|Infant mortality", US_national_yearly!$D:$AM, 10, FALSE), 1)</f>
        <v>6.8698364640255402E-7</v>
      </c>
      <c r="J3" s="7">
        <f>$B3 * IFERROR(VLOOKUP("LULUCF|PM25|Infant mortality", US_national_yearly!$D:$AM, 18, FALSE) / VLOOKUP("LULUCF|PM25|Infant mortality", US_national_yearly!$D:$AM, 10, FALSE), 1)</f>
        <v>6.8246352703086521E-7</v>
      </c>
      <c r="K3" s="7">
        <f>$B3 * IFERROR(VLOOKUP("LULUCF|PM25|Infant mortality", US_national_yearly!$D:$AM, 19, FALSE) / VLOOKUP("LULUCF|PM25|Infant mortality", US_national_yearly!$D:$AM, 10, FALSE), 1)</f>
        <v>6.7794340765917641E-7</v>
      </c>
      <c r="L3" s="7">
        <f>$B3 * IFERROR(VLOOKUP("LULUCF|PM25|Infant mortality", US_national_yearly!$D:$AM, 20, FALSE) / VLOOKUP("LULUCF|PM25|Infant mortality", US_national_yearly!$D:$AM, 10, FALSE), 1)</f>
        <v>6.7342328828748771E-7</v>
      </c>
      <c r="M3" s="7">
        <f>$B3 * IFERROR(VLOOKUP("LULUCF|PM25|Infant mortality", US_national_yearly!$D:$AM, 21, FALSE) / VLOOKUP("LULUCF|PM25|Infant mortality", US_national_yearly!$D:$AM, 10, FALSE), 1)</f>
        <v>6.6890316891579902E-7</v>
      </c>
      <c r="N3" s="7">
        <f>$B3 * IFERROR(VLOOKUP("LULUCF|PM25|Infant mortality", US_national_yearly!$D:$AM, 22, FALSE) / VLOOKUP("LULUCF|PM25|Infant mortality", US_national_yearly!$D:$AM, 10, FALSE), 1)</f>
        <v>6.6606403352429014E-7</v>
      </c>
      <c r="O3" s="7">
        <f>$B3 * IFERROR(VLOOKUP("LULUCF|PM25|Infant mortality", US_national_yearly!$D:$AM, 23, FALSE) / VLOOKUP("LULUCF|PM25|Infant mortality", US_national_yearly!$D:$AM, 10, FALSE), 1)</f>
        <v>6.6322489813278148E-7</v>
      </c>
      <c r="P3" s="7">
        <f>$B3 * IFERROR(VLOOKUP("LULUCF|PM25|Infant mortality", US_national_yearly!$D:$AM, 24, FALSE) / VLOOKUP("LULUCF|PM25|Infant mortality", US_national_yearly!$D:$AM, 10, FALSE), 1)</f>
        <v>6.603857627412725E-7</v>
      </c>
      <c r="Q3" s="7">
        <f>$B3 * IFERROR(VLOOKUP("LULUCF|PM25|Infant mortality", US_national_yearly!$D:$AM, 25, FALSE) / VLOOKUP("LULUCF|PM25|Infant mortality", US_national_yearly!$D:$AM, 10, FALSE), 1)</f>
        <v>6.5754662734976373E-7</v>
      </c>
      <c r="R3" s="7">
        <f>$B3 * IFERROR(VLOOKUP("LULUCF|PM25|Infant mortality", US_national_yearly!$D:$AM, 26, FALSE) / VLOOKUP("LULUCF|PM25|Infant mortality", US_national_yearly!$D:$AM, 10, FALSE), 1)</f>
        <v>6.5470749195825485E-7</v>
      </c>
      <c r="S3" s="7">
        <f>$B3 * IFERROR(VLOOKUP("LULUCF|PM25|Infant mortality", US_national_yearly!$D:$AM, 27, FALSE) / VLOOKUP("LULUCF|PM25|Infant mortality", US_national_yearly!$D:$AM, 10, FALSE), 1)</f>
        <v>6.5116845164207736E-7</v>
      </c>
      <c r="T3" s="7">
        <f>$B3 * IFERROR(VLOOKUP("LULUCF|PM25|Infant mortality", US_national_yearly!$D:$AM, 28, FALSE) / VLOOKUP("LULUCF|PM25|Infant mortality", US_national_yearly!$D:$AM, 10, FALSE), 1)</f>
        <v>6.4762941132589965E-7</v>
      </c>
      <c r="U3" s="7">
        <f>$B3 * IFERROR(VLOOKUP("LULUCF|PM25|Infant mortality", US_national_yearly!$D:$AM, 29, FALSE) / VLOOKUP("LULUCF|PM25|Infant mortality", US_national_yearly!$D:$AM, 10, FALSE), 1)</f>
        <v>6.4409037100972205E-7</v>
      </c>
      <c r="V3" s="7">
        <f>$B3 * IFERROR(VLOOKUP("LULUCF|PM25|Infant mortality", US_national_yearly!$D:$AM, 30, FALSE) / VLOOKUP("LULUCF|PM25|Infant mortality", US_national_yearly!$D:$AM, 10, FALSE), 1)</f>
        <v>6.4055133069354455E-7</v>
      </c>
      <c r="W3" s="7">
        <f>$B3 * IFERROR(VLOOKUP("LULUCF|PM25|Infant mortality", US_national_yearly!$D:$AM, 31, FALSE) / VLOOKUP("LULUCF|PM25|Infant mortality", US_national_yearly!$D:$AM, 10, FALSE), 1)</f>
        <v>6.3701229037736684E-7</v>
      </c>
      <c r="X3" s="7">
        <f>$B3 * IFERROR(VLOOKUP("LULUCF|PM25|Infant mortality", US_national_yearly!$D:$AM, 32, FALSE) / VLOOKUP("LULUCF|PM25|Infant mortality", US_national_yearly!$D:$AM, 10, FALSE), 1)</f>
        <v>6.3319676010582568E-7</v>
      </c>
      <c r="Y3" s="7">
        <f>$B3 * IFERROR(VLOOKUP("LULUCF|PM25|Infant mortality", US_national_yearly!$D:$AM, 33, FALSE) / VLOOKUP("LULUCF|PM25|Infant mortality", US_national_yearly!$D:$AM, 10, FALSE), 1)</f>
        <v>6.2938122983428431E-7</v>
      </c>
      <c r="Z3" s="7">
        <f>$B3 * IFERROR(VLOOKUP("LULUCF|PM25|Infant mortality", US_national_yearly!$D:$AM, 34, FALSE) / VLOOKUP("LULUCF|PM25|Infant mortality", US_national_yearly!$D:$AM, 10, FALSE), 1)</f>
        <v>6.2556569956274314E-7</v>
      </c>
      <c r="AA3" s="7">
        <f>$B3 * IFERROR(VLOOKUP("LULUCF|PM25|Infant mortality", US_national_yearly!$D:$AM, 35, FALSE) / VLOOKUP("LULUCF|PM25|Infant mortality", US_national_yearly!$D:$AM, 10, FALSE), 1)</f>
        <v>6.2175016929120188E-7</v>
      </c>
      <c r="AB3" s="7">
        <f>$B3 * IFERROR(VLOOKUP("LULUCF|PM25|Infant mortality", US_national_yearly!$D:$AM, 36, FALSE) / VLOOKUP("LULUCF|PM25|Infant mortality", US_national_yearly!$D:$AM, 10, FALSE), 1)</f>
        <v>6.1793463901966071E-7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1.8439421664398262E-3</v>
      </c>
      <c r="C6" s="7">
        <f>$B6 * IFERROR(VLOOKUP("LULUCF|PM25|Asthma symptoms cough", US_national_yearly!$D:$AM, 11, FALSE) / VLOOKUP("LULUCF|PM25|Asthma symptoms cough", US_national_yearly!$D:$AM, 10, FALSE), 1)</f>
        <v>1.8439421664398262E-3</v>
      </c>
      <c r="D6" s="7">
        <f>$B6 * IFERROR(VLOOKUP("LULUCF|PM25|Asthma symptoms cough", US_national_yearly!$D:$AM, 12, FALSE) / VLOOKUP("LULUCF|PM25|Asthma symptoms cough", US_national_yearly!$D:$AM, 10, FALSE), 1)</f>
        <v>1.8439421664398262E-3</v>
      </c>
      <c r="E6" s="7">
        <f>$B6 * IFERROR(VLOOKUP("LULUCF|PM25|Asthma symptoms cough", US_national_yearly!$D:$AM, 13, FALSE) / VLOOKUP("LULUCF|PM25|Asthma symptoms cough", US_national_yearly!$D:$AM, 10, FALSE), 1)</f>
        <v>1.8439421664398262E-3</v>
      </c>
      <c r="F6" s="7">
        <f>$B6 * IFERROR(VLOOKUP("LULUCF|PM25|Asthma symptoms cough", US_national_yearly!$D:$AM, 14, FALSE) / VLOOKUP("LULUCF|PM25|Asthma symptoms cough", US_national_yearly!$D:$AM, 10, FALSE), 1)</f>
        <v>1.8439421664398262E-3</v>
      </c>
      <c r="G6" s="7">
        <f>$B6 * IFERROR(VLOOKUP("LULUCF|PM25|Asthma symptoms cough", US_national_yearly!$D:$AM, 15, FALSE) / VLOOKUP("LULUCF|PM25|Asthma symptoms cough", US_national_yearly!$D:$AM, 10, FALSE), 1)</f>
        <v>1.8439421664398262E-3</v>
      </c>
      <c r="H6" s="7">
        <f>$B6 * IFERROR(VLOOKUP("LULUCF|PM25|Asthma symptoms cough", US_national_yearly!$D:$AM, 16, FALSE) / VLOOKUP("LULUCF|PM25|Asthma symptoms cough", US_national_yearly!$D:$AM, 10, FALSE), 1)</f>
        <v>1.8439421664398262E-3</v>
      </c>
      <c r="I6" s="7">
        <f>$B6 * IFERROR(VLOOKUP("LULUCF|PM25|Asthma symptoms cough", US_national_yearly!$D:$AM, 17, FALSE) / VLOOKUP("LULUCF|PM25|Asthma symptoms cough", US_national_yearly!$D:$AM, 10, FALSE), 1)</f>
        <v>1.8439421664398262E-3</v>
      </c>
      <c r="J6" s="7">
        <f>$B6 * IFERROR(VLOOKUP("LULUCF|PM25|Asthma symptoms cough", US_national_yearly!$D:$AM, 18, FALSE) / VLOOKUP("LULUCF|PM25|Asthma symptoms cough", US_national_yearly!$D:$AM, 10, FALSE), 1)</f>
        <v>1.8439421664398262E-3</v>
      </c>
      <c r="K6" s="7">
        <f>$B6 * IFERROR(VLOOKUP("LULUCF|PM25|Asthma symptoms cough", US_national_yearly!$D:$AM, 19, FALSE) / VLOOKUP("LULUCF|PM25|Asthma symptoms cough", US_national_yearly!$D:$AM, 10, FALSE), 1)</f>
        <v>1.8439421664398262E-3</v>
      </c>
      <c r="L6" s="7">
        <f>$B6 * IFERROR(VLOOKUP("LULUCF|PM25|Asthma symptoms cough", US_national_yearly!$D:$AM, 20, FALSE) / VLOOKUP("LULUCF|PM25|Asthma symptoms cough", US_national_yearly!$D:$AM, 10, FALSE), 1)</f>
        <v>1.8439421664398262E-3</v>
      </c>
      <c r="M6" s="7">
        <f>$B6 * IFERROR(VLOOKUP("LULUCF|PM25|Asthma symptoms cough", US_national_yearly!$D:$AM, 21, FALSE) / VLOOKUP("LULUCF|PM25|Asthma symptoms cough", US_national_yearly!$D:$AM, 10, FALSE), 1)</f>
        <v>1.8439421664398262E-3</v>
      </c>
      <c r="N6" s="7">
        <f>$B6 * IFERROR(VLOOKUP("LULUCF|PM25|Asthma symptoms cough", US_national_yearly!$D:$AM, 22, FALSE) / VLOOKUP("LULUCF|PM25|Asthma symptoms cough", US_national_yearly!$D:$AM, 10, FALSE), 1)</f>
        <v>1.8439421664398262E-3</v>
      </c>
      <c r="O6" s="7">
        <f>$B6 * IFERROR(VLOOKUP("LULUCF|PM25|Asthma symptoms cough", US_national_yearly!$D:$AM, 23, FALSE) / VLOOKUP("LULUCF|PM25|Asthma symptoms cough", US_national_yearly!$D:$AM, 10, FALSE), 1)</f>
        <v>1.8439421664398262E-3</v>
      </c>
      <c r="P6" s="7">
        <f>$B6 * IFERROR(VLOOKUP("LULUCF|PM25|Asthma symptoms cough", US_national_yearly!$D:$AM, 24, FALSE) / VLOOKUP("LULUCF|PM25|Asthma symptoms cough", US_national_yearly!$D:$AM, 10, FALSE), 1)</f>
        <v>1.8439421664398262E-3</v>
      </c>
      <c r="Q6" s="7">
        <f>$B6 * IFERROR(VLOOKUP("LULUCF|PM25|Asthma symptoms cough", US_national_yearly!$D:$AM, 25, FALSE) / VLOOKUP("LULUCF|PM25|Asthma symptoms cough", US_national_yearly!$D:$AM, 10, FALSE), 1)</f>
        <v>1.8439421664398262E-3</v>
      </c>
      <c r="R6" s="7">
        <f>$B6 * IFERROR(VLOOKUP("LULUCF|PM25|Asthma symptoms cough", US_national_yearly!$D:$AM, 26, FALSE) / VLOOKUP("LULUCF|PM25|Asthma symptoms cough", US_national_yearly!$D:$AM, 10, FALSE), 1)</f>
        <v>1.8439421664398262E-3</v>
      </c>
      <c r="S6" s="7">
        <f>$B6 * IFERROR(VLOOKUP("LULUCF|PM25|Asthma symptoms cough", US_national_yearly!$D:$AM, 27, FALSE) / VLOOKUP("LULUCF|PM25|Asthma symptoms cough", US_national_yearly!$D:$AM, 10, FALSE), 1)</f>
        <v>1.8439421664398262E-3</v>
      </c>
      <c r="T6" s="7">
        <f>$B6 * IFERROR(VLOOKUP("LULUCF|PM25|Asthma symptoms cough", US_national_yearly!$D:$AM, 28, FALSE) / VLOOKUP("LULUCF|PM25|Asthma symptoms cough", US_national_yearly!$D:$AM, 10, FALSE), 1)</f>
        <v>1.8439421664398262E-3</v>
      </c>
      <c r="U6" s="7">
        <f>$B6 * IFERROR(VLOOKUP("LULUCF|PM25|Asthma symptoms cough", US_national_yearly!$D:$AM, 29, FALSE) / VLOOKUP("LULUCF|PM25|Asthma symptoms cough", US_national_yearly!$D:$AM, 10, FALSE), 1)</f>
        <v>1.8439421664398262E-3</v>
      </c>
      <c r="V6" s="7">
        <f>$B6 * IFERROR(VLOOKUP("LULUCF|PM25|Asthma symptoms cough", US_national_yearly!$D:$AM, 30, FALSE) / VLOOKUP("LULUCF|PM25|Asthma symptoms cough", US_national_yearly!$D:$AM, 10, FALSE), 1)</f>
        <v>1.8439421664398262E-3</v>
      </c>
      <c r="W6" s="7">
        <f>$B6 * IFERROR(VLOOKUP("LULUCF|PM25|Asthma symptoms cough", US_national_yearly!$D:$AM, 31, FALSE) / VLOOKUP("LULUCF|PM25|Asthma symptoms cough", US_national_yearly!$D:$AM, 10, FALSE), 1)</f>
        <v>1.8439421664398262E-3</v>
      </c>
      <c r="X6" s="7">
        <f>$B6 * IFERROR(VLOOKUP("LULUCF|PM25|Asthma symptoms cough", US_national_yearly!$D:$AM, 32, FALSE) / VLOOKUP("LULUCF|PM25|Asthma symptoms cough", US_national_yearly!$D:$AM, 10, FALSE), 1)</f>
        <v>1.8439421664398262E-3</v>
      </c>
      <c r="Y6" s="7">
        <f>$B6 * IFERROR(VLOOKUP("LULUCF|PM25|Asthma symptoms cough", US_national_yearly!$D:$AM, 33, FALSE) / VLOOKUP("LULUCF|PM25|Asthma symptoms cough", US_national_yearly!$D:$AM, 10, FALSE), 1)</f>
        <v>1.8439421664398262E-3</v>
      </c>
      <c r="Z6" s="7">
        <f>$B6 * IFERROR(VLOOKUP("LULUCF|PM25|Asthma symptoms cough", US_national_yearly!$D:$AM, 34, FALSE) / VLOOKUP("LULUCF|PM25|Asthma symptoms cough", US_national_yearly!$D:$AM, 10, FALSE), 1)</f>
        <v>1.8439421664398262E-3</v>
      </c>
      <c r="AA6" s="7">
        <f>$B6 * IFERROR(VLOOKUP("LULUCF|PM25|Asthma symptoms cough", US_national_yearly!$D:$AM, 35, FALSE) / VLOOKUP("LULUCF|PM25|Asthma symptoms cough", US_national_yearly!$D:$AM, 10, FALSE), 1)</f>
        <v>1.8439421664398262E-3</v>
      </c>
      <c r="AB6" s="7">
        <f>$B6 * IFERROR(VLOOKUP("LULUCF|PM25|Asthma symptoms cough", US_national_yearly!$D:$AM, 36, FALSE) / VLOOKUP("LULUCF|PM25|Asthma symptoms cough", US_national_yearly!$D:$AM, 10, FALSE), 1)</f>
        <v>1.8439421664398262E-3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2.4830883591267618E-3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2.4830883591267618E-3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2.4830883591267618E-3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2.4830883591267618E-3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2.4830883591267618E-3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2.4830883591267618E-3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2.4830883591267618E-3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2.4830883591267618E-3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2.4830883591267618E-3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2.4830883591267618E-3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2.4830883591267618E-3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2.4830883591267618E-3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2.4830883591267618E-3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2.4830883591267618E-3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2.4830883591267618E-3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2.4830883591267618E-3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2.4830883591267618E-3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2.4830883591267618E-3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2.4830883591267618E-3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2.4830883591267618E-3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2.4830883591267618E-3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2.4830883591267618E-3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2.4830883591267618E-3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2.4830883591267618E-3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2.4830883591267618E-3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2.4830883591267618E-3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2.4830883591267618E-3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3.7939069720154136E-3</v>
      </c>
      <c r="C8" s="7">
        <f>$B8 * IFERROR(VLOOKUP("LULUCF|PM25|Asthma symptoms wheeze", US_national_yearly!$D:$AM, 11, FALSE) / VLOOKUP("LULUCF|PM25|Asthma symptoms wheeze", US_national_yearly!$D:$AM, 10, FALSE), 1)</f>
        <v>3.7939069720154136E-3</v>
      </c>
      <c r="D8" s="7">
        <f>$B8 * IFERROR(VLOOKUP("LULUCF|PM25|Asthma symptoms wheeze", US_national_yearly!$D:$AM, 12, FALSE) / VLOOKUP("LULUCF|PM25|Asthma symptoms wheeze", US_national_yearly!$D:$AM, 10, FALSE), 1)</f>
        <v>3.7939069720154136E-3</v>
      </c>
      <c r="E8" s="7">
        <f>$B8 * IFERROR(VLOOKUP("LULUCF|PM25|Asthma symptoms wheeze", US_national_yearly!$D:$AM, 13, FALSE) / VLOOKUP("LULUCF|PM25|Asthma symptoms wheeze", US_national_yearly!$D:$AM, 10, FALSE), 1)</f>
        <v>3.7939069720154136E-3</v>
      </c>
      <c r="F8" s="7">
        <f>$B8 * IFERROR(VLOOKUP("LULUCF|PM25|Asthma symptoms wheeze", US_national_yearly!$D:$AM, 14, FALSE) / VLOOKUP("LULUCF|PM25|Asthma symptoms wheeze", US_national_yearly!$D:$AM, 10, FALSE), 1)</f>
        <v>3.7939069720154136E-3</v>
      </c>
      <c r="G8" s="7">
        <f>$B8 * IFERROR(VLOOKUP("LULUCF|PM25|Asthma symptoms wheeze", US_national_yearly!$D:$AM, 15, FALSE) / VLOOKUP("LULUCF|PM25|Asthma symptoms wheeze", US_national_yearly!$D:$AM, 10, FALSE), 1)</f>
        <v>3.7939069720154136E-3</v>
      </c>
      <c r="H8" s="7">
        <f>$B8 * IFERROR(VLOOKUP("LULUCF|PM25|Asthma symptoms wheeze", US_national_yearly!$D:$AM, 16, FALSE) / VLOOKUP("LULUCF|PM25|Asthma symptoms wheeze", US_national_yearly!$D:$AM, 10, FALSE), 1)</f>
        <v>3.7939069720154136E-3</v>
      </c>
      <c r="I8" s="7">
        <f>$B8 * IFERROR(VLOOKUP("LULUCF|PM25|Asthma symptoms wheeze", US_national_yearly!$D:$AM, 17, FALSE) / VLOOKUP("LULUCF|PM25|Asthma symptoms wheeze", US_national_yearly!$D:$AM, 10, FALSE), 1)</f>
        <v>3.7939069720154136E-3</v>
      </c>
      <c r="J8" s="7">
        <f>$B8 * IFERROR(VLOOKUP("LULUCF|PM25|Asthma symptoms wheeze", US_national_yearly!$D:$AM, 18, FALSE) / VLOOKUP("LULUCF|PM25|Asthma symptoms wheeze", US_national_yearly!$D:$AM, 10, FALSE), 1)</f>
        <v>3.7939069720154136E-3</v>
      </c>
      <c r="K8" s="7">
        <f>$B8 * IFERROR(VLOOKUP("LULUCF|PM25|Asthma symptoms wheeze", US_national_yearly!$D:$AM, 19, FALSE) / VLOOKUP("LULUCF|PM25|Asthma symptoms wheeze", US_national_yearly!$D:$AM, 10, FALSE), 1)</f>
        <v>3.7939069720154136E-3</v>
      </c>
      <c r="L8" s="7">
        <f>$B8 * IFERROR(VLOOKUP("LULUCF|PM25|Asthma symptoms wheeze", US_national_yearly!$D:$AM, 20, FALSE) / VLOOKUP("LULUCF|PM25|Asthma symptoms wheeze", US_national_yearly!$D:$AM, 10, FALSE), 1)</f>
        <v>3.7939069720154136E-3</v>
      </c>
      <c r="M8" s="7">
        <f>$B8 * IFERROR(VLOOKUP("LULUCF|PM25|Asthma symptoms wheeze", US_national_yearly!$D:$AM, 21, FALSE) / VLOOKUP("LULUCF|PM25|Asthma symptoms wheeze", US_national_yearly!$D:$AM, 10, FALSE), 1)</f>
        <v>3.7939069720154136E-3</v>
      </c>
      <c r="N8" s="7">
        <f>$B8 * IFERROR(VLOOKUP("LULUCF|PM25|Asthma symptoms wheeze", US_national_yearly!$D:$AM, 22, FALSE) / VLOOKUP("LULUCF|PM25|Asthma symptoms wheeze", US_national_yearly!$D:$AM, 10, FALSE), 1)</f>
        <v>3.7939069720154136E-3</v>
      </c>
      <c r="O8" s="7">
        <f>$B8 * IFERROR(VLOOKUP("LULUCF|PM25|Asthma symptoms wheeze", US_national_yearly!$D:$AM, 23, FALSE) / VLOOKUP("LULUCF|PM25|Asthma symptoms wheeze", US_national_yearly!$D:$AM, 10, FALSE), 1)</f>
        <v>3.7939069720154136E-3</v>
      </c>
      <c r="P8" s="7">
        <f>$B8 * IFERROR(VLOOKUP("LULUCF|PM25|Asthma symptoms wheeze", US_national_yearly!$D:$AM, 24, FALSE) / VLOOKUP("LULUCF|PM25|Asthma symptoms wheeze", US_national_yearly!$D:$AM, 10, FALSE), 1)</f>
        <v>3.7939069720154136E-3</v>
      </c>
      <c r="Q8" s="7">
        <f>$B8 * IFERROR(VLOOKUP("LULUCF|PM25|Asthma symptoms wheeze", US_national_yearly!$D:$AM, 25, FALSE) / VLOOKUP("LULUCF|PM25|Asthma symptoms wheeze", US_national_yearly!$D:$AM, 10, FALSE), 1)</f>
        <v>3.7939069720154136E-3</v>
      </c>
      <c r="R8" s="7">
        <f>$B8 * IFERROR(VLOOKUP("LULUCF|PM25|Asthma symptoms wheeze", US_national_yearly!$D:$AM, 26, FALSE) / VLOOKUP("LULUCF|PM25|Asthma symptoms wheeze", US_national_yearly!$D:$AM, 10, FALSE), 1)</f>
        <v>3.7939069720154136E-3</v>
      </c>
      <c r="S8" s="7">
        <f>$B8 * IFERROR(VLOOKUP("LULUCF|PM25|Asthma symptoms wheeze", US_national_yearly!$D:$AM, 27, FALSE) / VLOOKUP("LULUCF|PM25|Asthma symptoms wheeze", US_national_yearly!$D:$AM, 10, FALSE), 1)</f>
        <v>3.7939069720154136E-3</v>
      </c>
      <c r="T8" s="7">
        <f>$B8 * IFERROR(VLOOKUP("LULUCF|PM25|Asthma symptoms wheeze", US_national_yearly!$D:$AM, 28, FALSE) / VLOOKUP("LULUCF|PM25|Asthma symptoms wheeze", US_national_yearly!$D:$AM, 10, FALSE), 1)</f>
        <v>3.7939069720154136E-3</v>
      </c>
      <c r="U8" s="7">
        <f>$B8 * IFERROR(VLOOKUP("LULUCF|PM25|Asthma symptoms wheeze", US_national_yearly!$D:$AM, 29, FALSE) / VLOOKUP("LULUCF|PM25|Asthma symptoms wheeze", US_national_yearly!$D:$AM, 10, FALSE), 1)</f>
        <v>3.7939069720154136E-3</v>
      </c>
      <c r="V8" s="7">
        <f>$B8 * IFERROR(VLOOKUP("LULUCF|PM25|Asthma symptoms wheeze", US_national_yearly!$D:$AM, 30, FALSE) / VLOOKUP("LULUCF|PM25|Asthma symptoms wheeze", US_national_yearly!$D:$AM, 10, FALSE), 1)</f>
        <v>3.7939069720154136E-3</v>
      </c>
      <c r="W8" s="7">
        <f>$B8 * IFERROR(VLOOKUP("LULUCF|PM25|Asthma symptoms wheeze", US_national_yearly!$D:$AM, 31, FALSE) / VLOOKUP("LULUCF|PM25|Asthma symptoms wheeze", US_national_yearly!$D:$AM, 10, FALSE), 1)</f>
        <v>3.7939069720154136E-3</v>
      </c>
      <c r="X8" s="7">
        <f>$B8 * IFERROR(VLOOKUP("LULUCF|PM25|Asthma symptoms wheeze", US_national_yearly!$D:$AM, 32, FALSE) / VLOOKUP("LULUCF|PM25|Asthma symptoms wheeze", US_national_yearly!$D:$AM, 10, FALSE), 1)</f>
        <v>3.7939069720154136E-3</v>
      </c>
      <c r="Y8" s="7">
        <f>$B8 * IFERROR(VLOOKUP("LULUCF|PM25|Asthma symptoms wheeze", US_national_yearly!$D:$AM, 33, FALSE) / VLOOKUP("LULUCF|PM25|Asthma symptoms wheeze", US_national_yearly!$D:$AM, 10, FALSE), 1)</f>
        <v>3.7939069720154136E-3</v>
      </c>
      <c r="Z8" s="7">
        <f>$B8 * IFERROR(VLOOKUP("LULUCF|PM25|Asthma symptoms wheeze", US_national_yearly!$D:$AM, 34, FALSE) / VLOOKUP("LULUCF|PM25|Asthma symptoms wheeze", US_national_yearly!$D:$AM, 10, FALSE), 1)</f>
        <v>3.7939069720154136E-3</v>
      </c>
      <c r="AA8" s="7">
        <f>$B8 * IFERROR(VLOOKUP("LULUCF|PM25|Asthma symptoms wheeze", US_national_yearly!$D:$AM, 35, FALSE) / VLOOKUP("LULUCF|PM25|Asthma symptoms wheeze", US_national_yearly!$D:$AM, 10, FALSE), 1)</f>
        <v>3.7939069720154136E-3</v>
      </c>
      <c r="AB8" s="7">
        <f>$B8 * IFERROR(VLOOKUP("LULUCF|PM25|Asthma symptoms wheeze", US_national_yearly!$D:$AM, 36, FALSE) / VLOOKUP("LULUCF|PM25|Asthma symptoms wheeze", US_national_yearly!$D:$AM, 10, FALSE), 1)</f>
        <v>3.7939069720154136E-3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4.9302203958865825E-5</v>
      </c>
      <c r="C12" s="7">
        <f>$B12 * IFERROR(VLOOKUP("LULUCF|PM25|Respiratory hospital admissions", US_national_yearly!$D:$AM, 11, FALSE) / VLOOKUP("LULUCF|PM25|Respiratory hospital admissions", US_national_yearly!$D:$AM, 10, FALSE), 1)</f>
        <v>4.9584784320361972E-5</v>
      </c>
      <c r="D12" s="7">
        <f>$B12 * IFERROR(VLOOKUP("LULUCF|PM25|Respiratory hospital admissions", US_national_yearly!$D:$AM, 12, FALSE) / VLOOKUP("LULUCF|PM25|Respiratory hospital admissions", US_national_yearly!$D:$AM, 10, FALSE), 1)</f>
        <v>4.9867364681858105E-5</v>
      </c>
      <c r="E12" s="7">
        <f>$B12 * IFERROR(VLOOKUP("LULUCF|PM25|Respiratory hospital admissions", US_national_yearly!$D:$AM, 13, FALSE) / VLOOKUP("LULUCF|PM25|Respiratory hospital admissions", US_national_yearly!$D:$AM, 10, FALSE), 1)</f>
        <v>5.0149945043354245E-5</v>
      </c>
      <c r="F12" s="7">
        <f>$B12 * IFERROR(VLOOKUP("LULUCF|PM25|Respiratory hospital admissions", US_national_yearly!$D:$AM, 14, FALSE) / VLOOKUP("LULUCF|PM25|Respiratory hospital admissions", US_national_yearly!$D:$AM, 10, FALSE), 1)</f>
        <v>5.0432525404850379E-5</v>
      </c>
      <c r="G12" s="7">
        <f>$B12 * IFERROR(VLOOKUP("LULUCF|PM25|Respiratory hospital admissions", US_national_yearly!$D:$AM, 15, FALSE) / VLOOKUP("LULUCF|PM25|Respiratory hospital admissions", US_national_yearly!$D:$AM, 10, FALSE), 1)</f>
        <v>5.0737724248809429E-5</v>
      </c>
      <c r="H12" s="7">
        <f>$B12 * IFERROR(VLOOKUP("LULUCF|PM25|Respiratory hospital admissions", US_national_yearly!$D:$AM, 16, FALSE) / VLOOKUP("LULUCF|PM25|Respiratory hospital admissions", US_national_yearly!$D:$AM, 10, FALSE), 1)</f>
        <v>5.104292309276848E-5</v>
      </c>
      <c r="I12" s="7">
        <f>$B12 * IFERROR(VLOOKUP("LULUCF|PM25|Respiratory hospital admissions", US_national_yearly!$D:$AM, 17, FALSE) / VLOOKUP("LULUCF|PM25|Respiratory hospital admissions", US_national_yearly!$D:$AM, 10, FALSE), 1)</f>
        <v>5.1334528992595421E-5</v>
      </c>
      <c r="J12" s="7">
        <f>$B12 * IFERROR(VLOOKUP("LULUCF|PM25|Respiratory hospital admissions", US_national_yearly!$D:$AM, 18, FALSE) / VLOOKUP("LULUCF|PM25|Respiratory hospital admissions", US_national_yearly!$D:$AM, 10, FALSE), 1)</f>
        <v>5.1626134892422383E-5</v>
      </c>
      <c r="K12" s="7">
        <f>$B12 * IFERROR(VLOOKUP("LULUCF|PM25|Respiratory hospital admissions", US_national_yearly!$D:$AM, 19, FALSE) / VLOOKUP("LULUCF|PM25|Respiratory hospital admissions", US_national_yearly!$D:$AM, 10, FALSE), 1)</f>
        <v>5.1917740792249332E-5</v>
      </c>
      <c r="L12" s="7">
        <f>$B12 * IFERROR(VLOOKUP("LULUCF|PM25|Respiratory hospital admissions", US_national_yearly!$D:$AM, 20, FALSE) / VLOOKUP("LULUCF|PM25|Respiratory hospital admissions", US_national_yearly!$D:$AM, 10, FALSE), 1)</f>
        <v>5.2209346692076287E-5</v>
      </c>
      <c r="M12" s="7">
        <f>$B12 * IFERROR(VLOOKUP("LULUCF|PM25|Respiratory hospital admissions", US_national_yearly!$D:$AM, 21, FALSE) / VLOOKUP("LULUCF|PM25|Respiratory hospital admissions", US_national_yearly!$D:$AM, 10, FALSE), 1)</f>
        <v>5.2500952591903228E-5</v>
      </c>
      <c r="N12" s="7">
        <f>$B12 * IFERROR(VLOOKUP("LULUCF|PM25|Respiratory hospital admissions", US_national_yearly!$D:$AM, 22, FALSE) / VLOOKUP("LULUCF|PM25|Respiratory hospital admissions", US_national_yearly!$D:$AM, 10, FALSE), 1)</f>
        <v>5.2710246655802542E-5</v>
      </c>
      <c r="O12" s="7">
        <f>$B12 * IFERROR(VLOOKUP("LULUCF|PM25|Respiratory hospital admissions", US_national_yearly!$D:$AM, 23, FALSE) / VLOOKUP("LULUCF|PM25|Respiratory hospital admissions", US_national_yearly!$D:$AM, 10, FALSE), 1)</f>
        <v>5.2919540719701842E-5</v>
      </c>
      <c r="P12" s="7">
        <f>$B12 * IFERROR(VLOOKUP("LULUCF|PM25|Respiratory hospital admissions", US_national_yearly!$D:$AM, 24, FALSE) / VLOOKUP("LULUCF|PM25|Respiratory hospital admissions", US_national_yearly!$D:$AM, 10, FALSE), 1)</f>
        <v>5.3128834783601135E-5</v>
      </c>
      <c r="Q12" s="7">
        <f>$B12 * IFERROR(VLOOKUP("LULUCF|PM25|Respiratory hospital admissions", US_national_yearly!$D:$AM, 25, FALSE) / VLOOKUP("LULUCF|PM25|Respiratory hospital admissions", US_national_yearly!$D:$AM, 10, FALSE), 1)</f>
        <v>5.3338128847500435E-5</v>
      </c>
      <c r="R12" s="7">
        <f>$B12 * IFERROR(VLOOKUP("LULUCF|PM25|Respiratory hospital admissions", US_national_yearly!$D:$AM, 26, FALSE) / VLOOKUP("LULUCF|PM25|Respiratory hospital admissions", US_national_yearly!$D:$AM, 10, FALSE), 1)</f>
        <v>5.3547422911399748E-5</v>
      </c>
      <c r="S12" s="7">
        <f>$B12 * IFERROR(VLOOKUP("LULUCF|PM25|Respiratory hospital admissions", US_national_yearly!$D:$AM, 27, FALSE) / VLOOKUP("LULUCF|PM25|Respiratory hospital admissions", US_national_yearly!$D:$AM, 10, FALSE), 1)</f>
        <v>5.3746698438464911E-5</v>
      </c>
      <c r="T12" s="7">
        <f>$B12 * IFERROR(VLOOKUP("LULUCF|PM25|Respiratory hospital admissions", US_national_yearly!$D:$AM, 28, FALSE) / VLOOKUP("LULUCF|PM25|Respiratory hospital admissions", US_national_yearly!$D:$AM, 10, FALSE), 1)</f>
        <v>5.3945973965530086E-5</v>
      </c>
      <c r="U12" s="7">
        <f>$B12 * IFERROR(VLOOKUP("LULUCF|PM25|Respiratory hospital admissions", US_national_yearly!$D:$AM, 29, FALSE) / VLOOKUP("LULUCF|PM25|Respiratory hospital admissions", US_national_yearly!$D:$AM, 10, FALSE), 1)</f>
        <v>5.4145249492595248E-5</v>
      </c>
      <c r="V12" s="7">
        <f>$B12 * IFERROR(VLOOKUP("LULUCF|PM25|Respiratory hospital admissions", US_national_yearly!$D:$AM, 30, FALSE) / VLOOKUP("LULUCF|PM25|Respiratory hospital admissions", US_national_yearly!$D:$AM, 10, FALSE), 1)</f>
        <v>5.434452501966041E-5</v>
      </c>
      <c r="W12" s="7">
        <f>$B12 * IFERROR(VLOOKUP("LULUCF|PM25|Respiratory hospital admissions", US_national_yearly!$D:$AM, 31, FALSE) / VLOOKUP("LULUCF|PM25|Respiratory hospital admissions", US_national_yearly!$D:$AM, 10, FALSE), 1)</f>
        <v>5.4543800546725572E-5</v>
      </c>
      <c r="X12" s="7">
        <f>$B12 * IFERROR(VLOOKUP("LULUCF|PM25|Respiratory hospital admissions", US_national_yearly!$D:$AM, 32, FALSE) / VLOOKUP("LULUCF|PM25|Respiratory hospital admissions", US_national_yearly!$D:$AM, 10, FALSE), 1)</f>
        <v>5.4735506145754795E-5</v>
      </c>
      <c r="Y12" s="7">
        <f>$B12 * IFERROR(VLOOKUP("LULUCF|PM25|Respiratory hospital admissions", US_national_yearly!$D:$AM, 33, FALSE) / VLOOKUP("LULUCF|PM25|Respiratory hospital admissions", US_national_yearly!$D:$AM, 10, FALSE), 1)</f>
        <v>5.4927211744783997E-5</v>
      </c>
      <c r="Z12" s="7">
        <f>$B12 * IFERROR(VLOOKUP("LULUCF|PM25|Respiratory hospital admissions", US_national_yearly!$D:$AM, 34, FALSE) / VLOOKUP("LULUCF|PM25|Respiratory hospital admissions", US_national_yearly!$D:$AM, 10, FALSE), 1)</f>
        <v>5.5118917343813213E-5</v>
      </c>
      <c r="AA12" s="7">
        <f>$B12 * IFERROR(VLOOKUP("LULUCF|PM25|Respiratory hospital admissions", US_national_yearly!$D:$AM, 35, FALSE) / VLOOKUP("LULUCF|PM25|Respiratory hospital admissions", US_national_yearly!$D:$AM, 10, FALSE), 1)</f>
        <v>5.5310622942842415E-5</v>
      </c>
      <c r="AB12" s="7">
        <f>$B12 * IFERROR(VLOOKUP("LULUCF|PM25|Respiratory hospital admissions", US_national_yearly!$D:$AM, 36, FALSE) / VLOOKUP("LULUCF|PM25|Respiratory hospital admissions", US_national_yearly!$D:$AM, 10, FALSE), 1)</f>
        <v>5.5502328541871631E-5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2.9531152862597349E-4</v>
      </c>
      <c r="C13" s="7">
        <f>$B13 * IFERROR(VLOOKUP("LULUCF|PM25|Non-fatal heart attacks", US_national_yearly!$D:$AM, 11, FALSE) / VLOOKUP("LULUCF|PM25|Non-fatal heart attacks", US_national_yearly!$D:$AM, 10, FALSE), 1)</f>
        <v>3.0389701843023685E-4</v>
      </c>
      <c r="D13" s="7">
        <f>$B13 * IFERROR(VLOOKUP("LULUCF|PM25|Non-fatal heart attacks", US_national_yearly!$D:$AM, 12, FALSE) / VLOOKUP("LULUCF|PM25|Non-fatal heart attacks", US_national_yearly!$D:$AM, 10, FALSE), 1)</f>
        <v>3.1248250823450021E-4</v>
      </c>
      <c r="E13" s="7">
        <f>$B13 * IFERROR(VLOOKUP("LULUCF|PM25|Non-fatal heart attacks", US_national_yearly!$D:$AM, 13, FALSE) / VLOOKUP("LULUCF|PM25|Non-fatal heart attacks", US_national_yearly!$D:$AM, 10, FALSE), 1)</f>
        <v>3.2106799803876353E-4</v>
      </c>
      <c r="F13" s="7">
        <f>$B13 * IFERROR(VLOOKUP("LULUCF|PM25|Non-fatal heart attacks", US_national_yearly!$D:$AM, 14, FALSE) / VLOOKUP("LULUCF|PM25|Non-fatal heart attacks", US_national_yearly!$D:$AM, 10, FALSE), 1)</f>
        <v>3.29653487843027E-4</v>
      </c>
      <c r="G13" s="7">
        <f>$B13 * IFERROR(VLOOKUP("LULUCF|PM25|Non-fatal heart attacks", US_national_yearly!$D:$AM, 15, FALSE) / VLOOKUP("LULUCF|PM25|Non-fatal heart attacks", US_national_yearly!$D:$AM, 10, FALSE), 1)</f>
        <v>3.3775014749259013E-4</v>
      </c>
      <c r="H13" s="7">
        <f>$B13 * IFERROR(VLOOKUP("LULUCF|PM25|Non-fatal heart attacks", US_national_yearly!$D:$AM, 16, FALSE) / VLOOKUP("LULUCF|PM25|Non-fatal heart attacks", US_national_yearly!$D:$AM, 10, FALSE), 1)</f>
        <v>3.4584680714215321E-4</v>
      </c>
      <c r="I13" s="7">
        <f>$B13 * IFERROR(VLOOKUP("LULUCF|PM25|Non-fatal heart attacks", US_national_yearly!$D:$AM, 17, FALSE) / VLOOKUP("LULUCF|PM25|Non-fatal heart attacks", US_national_yearly!$D:$AM, 10, FALSE), 1)</f>
        <v>3.5235382729637498E-4</v>
      </c>
      <c r="J13" s="7">
        <f>$B13 * IFERROR(VLOOKUP("LULUCF|PM25|Non-fatal heart attacks", US_national_yearly!$D:$AM, 18, FALSE) / VLOOKUP("LULUCF|PM25|Non-fatal heart attacks", US_national_yearly!$D:$AM, 10, FALSE), 1)</f>
        <v>3.588608474505968E-4</v>
      </c>
      <c r="K13" s="7">
        <f>$B13 * IFERROR(VLOOKUP("LULUCF|PM25|Non-fatal heart attacks", US_national_yearly!$D:$AM, 19, FALSE) / VLOOKUP("LULUCF|PM25|Non-fatal heart attacks", US_national_yearly!$D:$AM, 10, FALSE), 1)</f>
        <v>3.6536786760481862E-4</v>
      </c>
      <c r="L13" s="7">
        <f>$B13 * IFERROR(VLOOKUP("LULUCF|PM25|Non-fatal heart attacks", US_national_yearly!$D:$AM, 20, FALSE) / VLOOKUP("LULUCF|PM25|Non-fatal heart attacks", US_national_yearly!$D:$AM, 10, FALSE), 1)</f>
        <v>3.7187488775904044E-4</v>
      </c>
      <c r="M13" s="7">
        <f>$B13 * IFERROR(VLOOKUP("LULUCF|PM25|Non-fatal heart attacks", US_national_yearly!$D:$AM, 21, FALSE) / VLOOKUP("LULUCF|PM25|Non-fatal heart attacks", US_national_yearly!$D:$AM, 10, FALSE), 1)</f>
        <v>3.7838190791326227E-4</v>
      </c>
      <c r="N13" s="7">
        <f>$B13 * IFERROR(VLOOKUP("LULUCF|PM25|Non-fatal heart attacks", US_national_yearly!$D:$AM, 22, FALSE) / VLOOKUP("LULUCF|PM25|Non-fatal heart attacks", US_national_yearly!$D:$AM, 10, FALSE), 1)</f>
        <v>3.8257829337390894E-4</v>
      </c>
      <c r="O13" s="7">
        <f>$B13 * IFERROR(VLOOKUP("LULUCF|PM25|Non-fatal heart attacks", US_national_yearly!$D:$AM, 23, FALSE) / VLOOKUP("LULUCF|PM25|Non-fatal heart attacks", US_national_yearly!$D:$AM, 10, FALSE), 1)</f>
        <v>3.8677467883455567E-4</v>
      </c>
      <c r="P13" s="7">
        <f>$B13 * IFERROR(VLOOKUP("LULUCF|PM25|Non-fatal heart attacks", US_national_yearly!$D:$AM, 24, FALSE) / VLOOKUP("LULUCF|PM25|Non-fatal heart attacks", US_national_yearly!$D:$AM, 10, FALSE), 1)</f>
        <v>3.909710642952024E-4</v>
      </c>
      <c r="Q13" s="7">
        <f>$B13 * IFERROR(VLOOKUP("LULUCF|PM25|Non-fatal heart attacks", US_national_yearly!$D:$AM, 25, FALSE) / VLOOKUP("LULUCF|PM25|Non-fatal heart attacks", US_national_yearly!$D:$AM, 10, FALSE), 1)</f>
        <v>3.9516744975584902E-4</v>
      </c>
      <c r="R13" s="7">
        <f>$B13 * IFERROR(VLOOKUP("LULUCF|PM25|Non-fatal heart attacks", US_national_yearly!$D:$AM, 26, FALSE) / VLOOKUP("LULUCF|PM25|Non-fatal heart attacks", US_national_yearly!$D:$AM, 10, FALSE), 1)</f>
        <v>3.9936383521649576E-4</v>
      </c>
      <c r="S13" s="7">
        <f>$B13 * IFERROR(VLOOKUP("LULUCF|PM25|Non-fatal heart attacks", US_national_yearly!$D:$AM, 27, FALSE) / VLOOKUP("LULUCF|PM25|Non-fatal heart attacks", US_national_yearly!$D:$AM, 10, FALSE), 1)</f>
        <v>4.0157377168988995E-4</v>
      </c>
      <c r="T13" s="7">
        <f>$B13 * IFERROR(VLOOKUP("LULUCF|PM25|Non-fatal heart attacks", US_national_yearly!$D:$AM, 28, FALSE) / VLOOKUP("LULUCF|PM25|Non-fatal heart attacks", US_national_yearly!$D:$AM, 10, FALSE), 1)</f>
        <v>4.0378370816328426E-4</v>
      </c>
      <c r="U13" s="7">
        <f>$B13 * IFERROR(VLOOKUP("LULUCF|PM25|Non-fatal heart attacks", US_national_yearly!$D:$AM, 29, FALSE) / VLOOKUP("LULUCF|PM25|Non-fatal heart attacks", US_national_yearly!$D:$AM, 10, FALSE), 1)</f>
        <v>4.0599364463667856E-4</v>
      </c>
      <c r="V13" s="7">
        <f>$B13 * IFERROR(VLOOKUP("LULUCF|PM25|Non-fatal heart attacks", US_national_yearly!$D:$AM, 30, FALSE) / VLOOKUP("LULUCF|PM25|Non-fatal heart attacks", US_national_yearly!$D:$AM, 10, FALSE), 1)</f>
        <v>4.0820358111007282E-4</v>
      </c>
      <c r="W13" s="7">
        <f>$B13 * IFERROR(VLOOKUP("LULUCF|PM25|Non-fatal heart attacks", US_national_yearly!$D:$AM, 31, FALSE) / VLOOKUP("LULUCF|PM25|Non-fatal heart attacks", US_national_yearly!$D:$AM, 10, FALSE), 1)</f>
        <v>4.1041351758346707E-4</v>
      </c>
      <c r="X13" s="7">
        <f>$B13 * IFERROR(VLOOKUP("LULUCF|PM25|Non-fatal heart attacks", US_national_yearly!$D:$AM, 32, FALSE) / VLOOKUP("LULUCF|PM25|Non-fatal heart attacks", US_national_yearly!$D:$AM, 10, FALSE), 1)</f>
        <v>4.1209117891701993E-4</v>
      </c>
      <c r="Y13" s="7">
        <f>$B13 * IFERROR(VLOOKUP("LULUCF|PM25|Non-fatal heart attacks", US_national_yearly!$D:$AM, 33, FALSE) / VLOOKUP("LULUCF|PM25|Non-fatal heart attacks", US_national_yearly!$D:$AM, 10, FALSE), 1)</f>
        <v>4.1376884025057291E-4</v>
      </c>
      <c r="Z13" s="7">
        <f>$B13 * IFERROR(VLOOKUP("LULUCF|PM25|Non-fatal heart attacks", US_national_yearly!$D:$AM, 34, FALSE) / VLOOKUP("LULUCF|PM25|Non-fatal heart attacks", US_national_yearly!$D:$AM, 10, FALSE), 1)</f>
        <v>4.1544650158412578E-4</v>
      </c>
      <c r="AA13" s="7">
        <f>$B13 * IFERROR(VLOOKUP("LULUCF|PM25|Non-fatal heart attacks", US_national_yearly!$D:$AM, 35, FALSE) / VLOOKUP("LULUCF|PM25|Non-fatal heart attacks", US_national_yearly!$D:$AM, 10, FALSE), 1)</f>
        <v>4.1712416291767875E-4</v>
      </c>
      <c r="AB13" s="7">
        <f>$B13 * IFERROR(VLOOKUP("LULUCF|PM25|Non-fatal heart attacks", US_national_yearly!$D:$AM, 36, FALSE) / VLOOKUP("LULUCF|PM25|Non-fatal heart attacks", US_national_yearly!$D:$AM, 10, FALSE), 1)</f>
        <v>4.1880182425123162E-4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0.22703624372934478</v>
      </c>
      <c r="C14" s="7">
        <f>$B14 * IFERROR(VLOOKUP("LULUCF|PM25|Minor restricted activity days", US_national_yearly!$D:$AM, 11, FALSE) / VLOOKUP("LULUCF|PM25|Minor restricted activity days", US_national_yearly!$D:$AM, 10, FALSE), 1)</f>
        <v>0.22759069316096064</v>
      </c>
      <c r="D14" s="7">
        <f>$B14 * IFERROR(VLOOKUP("LULUCF|PM25|Minor restricted activity days", US_national_yearly!$D:$AM, 12, FALSE) / VLOOKUP("LULUCF|PM25|Minor restricted activity days", US_national_yearly!$D:$AM, 10, FALSE), 1)</f>
        <v>0.22814514259257651</v>
      </c>
      <c r="E14" s="7">
        <f>$B14 * IFERROR(VLOOKUP("LULUCF|PM25|Minor restricted activity days", US_national_yearly!$D:$AM, 13, FALSE) / VLOOKUP("LULUCF|PM25|Minor restricted activity days", US_national_yearly!$D:$AM, 10, FALSE), 1)</f>
        <v>0.22869959202419243</v>
      </c>
      <c r="F14" s="7">
        <f>$B14 * IFERROR(VLOOKUP("LULUCF|PM25|Minor restricted activity days", US_national_yearly!$D:$AM, 14, FALSE) / VLOOKUP("LULUCF|PM25|Minor restricted activity days", US_national_yearly!$D:$AM, 10, FALSE), 1)</f>
        <v>0.22925404145580824</v>
      </c>
      <c r="G14" s="7">
        <f>$B14 * IFERROR(VLOOKUP("LULUCF|PM25|Minor restricted activity days", US_national_yearly!$D:$AM, 15, FALSE) / VLOOKUP("LULUCF|PM25|Minor restricted activity days", US_national_yearly!$D:$AM, 10, FALSE), 1)</f>
        <v>0.23007211499892391</v>
      </c>
      <c r="H14" s="7">
        <f>$B14 * IFERROR(VLOOKUP("LULUCF|PM25|Minor restricted activity days", US_national_yearly!$D:$AM, 16, FALSE) / VLOOKUP("LULUCF|PM25|Minor restricted activity days", US_national_yearly!$D:$AM, 10, FALSE), 1)</f>
        <v>0.23089018854203955</v>
      </c>
      <c r="I14" s="7">
        <f>$B14 * IFERROR(VLOOKUP("LULUCF|PM25|Minor restricted activity days", US_national_yearly!$D:$AM, 17, FALSE) / VLOOKUP("LULUCF|PM25|Minor restricted activity days", US_national_yearly!$D:$AM, 10, FALSE), 1)</f>
        <v>0.23228871968102935</v>
      </c>
      <c r="J14" s="7">
        <f>$B14 * IFERROR(VLOOKUP("LULUCF|PM25|Minor restricted activity days", US_national_yearly!$D:$AM, 18, FALSE) / VLOOKUP("LULUCF|PM25|Minor restricted activity days", US_national_yearly!$D:$AM, 10, FALSE), 1)</f>
        <v>0.23368725082001907</v>
      </c>
      <c r="K14" s="7">
        <f>$B14 * IFERROR(VLOOKUP("LULUCF|PM25|Minor restricted activity days", US_national_yearly!$D:$AM, 19, FALSE) / VLOOKUP("LULUCF|PM25|Minor restricted activity days", US_national_yearly!$D:$AM, 10, FALSE), 1)</f>
        <v>0.23508578195900887</v>
      </c>
      <c r="L14" s="7">
        <f>$B14 * IFERROR(VLOOKUP("LULUCF|PM25|Minor restricted activity days", US_national_yearly!$D:$AM, 20, FALSE) / VLOOKUP("LULUCF|PM25|Minor restricted activity days", US_national_yearly!$D:$AM, 10, FALSE), 1)</f>
        <v>0.23648431309799861</v>
      </c>
      <c r="M14" s="7">
        <f>$B14 * IFERROR(VLOOKUP("LULUCF|PM25|Minor restricted activity days", US_national_yearly!$D:$AM, 21, FALSE) / VLOOKUP("LULUCF|PM25|Minor restricted activity days", US_national_yearly!$D:$AM, 10, FALSE), 1)</f>
        <v>0.23788284423698836</v>
      </c>
      <c r="N14" s="7">
        <f>$B14 * IFERROR(VLOOKUP("LULUCF|PM25|Minor restricted activity days", US_national_yearly!$D:$AM, 22, FALSE) / VLOOKUP("LULUCF|PM25|Minor restricted activity days", US_national_yearly!$D:$AM, 10, FALSE), 1)</f>
        <v>0.23978792209534699</v>
      </c>
      <c r="O14" s="7">
        <f>$B14 * IFERROR(VLOOKUP("LULUCF|PM25|Minor restricted activity days", US_national_yearly!$D:$AM, 23, FALSE) / VLOOKUP("LULUCF|PM25|Minor restricted activity days", US_national_yearly!$D:$AM, 10, FALSE), 1)</f>
        <v>0.24169299995370558</v>
      </c>
      <c r="P14" s="7">
        <f>$B14 * IFERROR(VLOOKUP("LULUCF|PM25|Minor restricted activity days", US_national_yearly!$D:$AM, 24, FALSE) / VLOOKUP("LULUCF|PM25|Minor restricted activity days", US_national_yearly!$D:$AM, 10, FALSE), 1)</f>
        <v>0.24359807781206419</v>
      </c>
      <c r="Q14" s="7">
        <f>$B14 * IFERROR(VLOOKUP("LULUCF|PM25|Minor restricted activity days", US_national_yearly!$D:$AM, 25, FALSE) / VLOOKUP("LULUCF|PM25|Minor restricted activity days", US_national_yearly!$D:$AM, 10, FALSE), 1)</f>
        <v>0.24550315567042277</v>
      </c>
      <c r="R14" s="7">
        <f>$B14 * IFERROR(VLOOKUP("LULUCF|PM25|Minor restricted activity days", US_national_yearly!$D:$AM, 26, FALSE) / VLOOKUP("LULUCF|PM25|Minor restricted activity days", US_national_yearly!$D:$AM, 10, FALSE), 1)</f>
        <v>0.24740823352878136</v>
      </c>
      <c r="S14" s="7">
        <f>$B14 * IFERROR(VLOOKUP("LULUCF|PM25|Minor restricted activity days", US_national_yearly!$D:$AM, 27, FALSE) / VLOOKUP("LULUCF|PM25|Minor restricted activity days", US_national_yearly!$D:$AM, 10, FALSE), 1)</f>
        <v>0.24932643103409571</v>
      </c>
      <c r="T14" s="7">
        <f>$B14 * IFERROR(VLOOKUP("LULUCF|PM25|Minor restricted activity days", US_national_yearly!$D:$AM, 28, FALSE) / VLOOKUP("LULUCF|PM25|Minor restricted activity days", US_national_yearly!$D:$AM, 10, FALSE), 1)</f>
        <v>0.2512446285394101</v>
      </c>
      <c r="U14" s="7">
        <f>$B14 * IFERROR(VLOOKUP("LULUCF|PM25|Minor restricted activity days", US_national_yearly!$D:$AM, 29, FALSE) / VLOOKUP("LULUCF|PM25|Minor restricted activity days", US_national_yearly!$D:$AM, 10, FALSE), 1)</f>
        <v>0.25316282604472445</v>
      </c>
      <c r="V14" s="7">
        <f>$B14 * IFERROR(VLOOKUP("LULUCF|PM25|Minor restricted activity days", US_national_yearly!$D:$AM, 30, FALSE) / VLOOKUP("LULUCF|PM25|Minor restricted activity days", US_national_yearly!$D:$AM, 10, FALSE), 1)</f>
        <v>0.25508102355003881</v>
      </c>
      <c r="W14" s="7">
        <f>$B14 * IFERROR(VLOOKUP("LULUCF|PM25|Minor restricted activity days", US_national_yearly!$D:$AM, 31, FALSE) / VLOOKUP("LULUCF|PM25|Minor restricted activity days", US_national_yearly!$D:$AM, 10, FALSE), 1)</f>
        <v>0.25699922105535317</v>
      </c>
      <c r="X14" s="7">
        <f>$B14 * IFERROR(VLOOKUP("LULUCF|PM25|Minor restricted activity days", US_national_yearly!$D:$AM, 32, FALSE) / VLOOKUP("LULUCF|PM25|Minor restricted activity days", US_national_yearly!$D:$AM, 10, FALSE), 1)</f>
        <v>0.25866440946430663</v>
      </c>
      <c r="Y14" s="7">
        <f>$B14 * IFERROR(VLOOKUP("LULUCF|PM25|Minor restricted activity days", US_national_yearly!$D:$AM, 33, FALSE) / VLOOKUP("LULUCF|PM25|Minor restricted activity days", US_national_yearly!$D:$AM, 10, FALSE), 1)</f>
        <v>0.2603295978732601</v>
      </c>
      <c r="Z14" s="7">
        <f>$B14 * IFERROR(VLOOKUP("LULUCF|PM25|Minor restricted activity days", US_national_yearly!$D:$AM, 34, FALSE) / VLOOKUP("LULUCF|PM25|Minor restricted activity days", US_national_yearly!$D:$AM, 10, FALSE), 1)</f>
        <v>0.26199478628221351</v>
      </c>
      <c r="AA14" s="7">
        <f>$B14 * IFERROR(VLOOKUP("LULUCF|PM25|Minor restricted activity days", US_national_yearly!$D:$AM, 35, FALSE) / VLOOKUP("LULUCF|PM25|Minor restricted activity days", US_national_yearly!$D:$AM, 10, FALSE), 1)</f>
        <v>0.26365997469116692</v>
      </c>
      <c r="AB14" s="7">
        <f>$B14 * IFERROR(VLOOKUP("LULUCF|PM25|Minor restricted activity days", US_national_yearly!$D:$AM, 36, FALSE) / VLOOKUP("LULUCF|PM25|Minor restricted activity days", US_national_yearly!$D:$AM, 10, FALSE), 1)</f>
        <v>0.26532516310012039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3.8289877900333114E-2</v>
      </c>
      <c r="C15" s="7">
        <f>$B15 * IFERROR(VLOOKUP("LULUCF|PM25|Work loss days", US_national_yearly!$D:$AM, 11, FALSE) / VLOOKUP("LULUCF|PM25|Work loss days", US_national_yearly!$D:$AM, 10, FALSE), 1)</f>
        <v>3.8408562730928374E-2</v>
      </c>
      <c r="D15" s="7">
        <f>$B15 * IFERROR(VLOOKUP("LULUCF|PM25|Work loss days", US_national_yearly!$D:$AM, 12, FALSE) / VLOOKUP("LULUCF|PM25|Work loss days", US_national_yearly!$D:$AM, 10, FALSE), 1)</f>
        <v>3.8527247561523634E-2</v>
      </c>
      <c r="E15" s="7">
        <f>$B15 * IFERROR(VLOOKUP("LULUCF|PM25|Work loss days", US_national_yearly!$D:$AM, 13, FALSE) / VLOOKUP("LULUCF|PM25|Work loss days", US_national_yearly!$D:$AM, 10, FALSE), 1)</f>
        <v>3.8645932392118894E-2</v>
      </c>
      <c r="F15" s="7">
        <f>$B15 * IFERROR(VLOOKUP("LULUCF|PM25|Work loss days", US_national_yearly!$D:$AM, 14, FALSE) / VLOOKUP("LULUCF|PM25|Work loss days", US_national_yearly!$D:$AM, 10, FALSE), 1)</f>
        <v>3.8764617222714147E-2</v>
      </c>
      <c r="G15" s="7">
        <f>$B15 * IFERROR(VLOOKUP("LULUCF|PM25|Work loss days", US_national_yearly!$D:$AM, 15, FALSE) / VLOOKUP("LULUCF|PM25|Work loss days", US_national_yearly!$D:$AM, 10, FALSE), 1)</f>
        <v>3.8920220609017404E-2</v>
      </c>
      <c r="H15" s="7">
        <f>$B15 * IFERROR(VLOOKUP("LULUCF|PM25|Work loss days", US_national_yearly!$D:$AM, 16, FALSE) / VLOOKUP("LULUCF|PM25|Work loss days", US_national_yearly!$D:$AM, 10, FALSE), 1)</f>
        <v>3.9075823995320669E-2</v>
      </c>
      <c r="I15" s="7">
        <f>$B15 * IFERROR(VLOOKUP("LULUCF|PM25|Work loss days", US_national_yearly!$D:$AM, 17, FALSE) / VLOOKUP("LULUCF|PM25|Work loss days", US_national_yearly!$D:$AM, 10, FALSE), 1)</f>
        <v>3.9304967095676317E-2</v>
      </c>
      <c r="J15" s="7">
        <f>$B15 * IFERROR(VLOOKUP("LULUCF|PM25|Work loss days", US_national_yearly!$D:$AM, 18, FALSE) / VLOOKUP("LULUCF|PM25|Work loss days", US_national_yearly!$D:$AM, 10, FALSE), 1)</f>
        <v>3.9534110196031973E-2</v>
      </c>
      <c r="K15" s="7">
        <f>$B15 * IFERROR(VLOOKUP("LULUCF|PM25|Work loss days", US_national_yearly!$D:$AM, 19, FALSE) / VLOOKUP("LULUCF|PM25|Work loss days", US_national_yearly!$D:$AM, 10, FALSE), 1)</f>
        <v>3.9763253296387628E-2</v>
      </c>
      <c r="L15" s="7">
        <f>$B15 * IFERROR(VLOOKUP("LULUCF|PM25|Work loss days", US_national_yearly!$D:$AM, 20, FALSE) / VLOOKUP("LULUCF|PM25|Work loss days", US_national_yearly!$D:$AM, 10, FALSE), 1)</f>
        <v>3.9992396396743277E-2</v>
      </c>
      <c r="M15" s="7">
        <f>$B15 * IFERROR(VLOOKUP("LULUCF|PM25|Work loss days", US_national_yearly!$D:$AM, 21, FALSE) / VLOOKUP("LULUCF|PM25|Work loss days", US_national_yearly!$D:$AM, 10, FALSE), 1)</f>
        <v>4.0221539497098932E-2</v>
      </c>
      <c r="N15" s="7">
        <f>$B15 * IFERROR(VLOOKUP("LULUCF|PM25|Work loss days", US_national_yearly!$D:$AM, 22, FALSE) / VLOOKUP("LULUCF|PM25|Work loss days", US_national_yearly!$D:$AM, 10, FALSE), 1)</f>
        <v>4.0509933432463063E-2</v>
      </c>
      <c r="O15" s="7">
        <f>$B15 * IFERROR(VLOOKUP("LULUCF|PM25|Work loss days", US_national_yearly!$D:$AM, 23, FALSE) / VLOOKUP("LULUCF|PM25|Work loss days", US_national_yearly!$D:$AM, 10, FALSE), 1)</f>
        <v>4.0798327367827188E-2</v>
      </c>
      <c r="P15" s="7">
        <f>$B15 * IFERROR(VLOOKUP("LULUCF|PM25|Work loss days", US_national_yearly!$D:$AM, 24, FALSE) / VLOOKUP("LULUCF|PM25|Work loss days", US_national_yearly!$D:$AM, 10, FALSE), 1)</f>
        <v>4.1086721303191319E-2</v>
      </c>
      <c r="Q15" s="7">
        <f>$B15 * IFERROR(VLOOKUP("LULUCF|PM25|Work loss days", US_national_yearly!$D:$AM, 25, FALSE) / VLOOKUP("LULUCF|PM25|Work loss days", US_national_yearly!$D:$AM, 10, FALSE), 1)</f>
        <v>4.1375115238555443E-2</v>
      </c>
      <c r="R15" s="7">
        <f>$B15 * IFERROR(VLOOKUP("LULUCF|PM25|Work loss days", US_national_yearly!$D:$AM, 26, FALSE) / VLOOKUP("LULUCF|PM25|Work loss days", US_national_yearly!$D:$AM, 10, FALSE), 1)</f>
        <v>4.1663509173919575E-2</v>
      </c>
      <c r="S15" s="7">
        <f>$B15 * IFERROR(VLOOKUP("LULUCF|PM25|Work loss days", US_national_yearly!$D:$AM, 27, FALSE) / VLOOKUP("LULUCF|PM25|Work loss days", US_national_yearly!$D:$AM, 10, FALSE), 1)</f>
        <v>4.1982485178965252E-2</v>
      </c>
      <c r="T15" s="7">
        <f>$B15 * IFERROR(VLOOKUP("LULUCF|PM25|Work loss days", US_national_yearly!$D:$AM, 28, FALSE) / VLOOKUP("LULUCF|PM25|Work loss days", US_national_yearly!$D:$AM, 10, FALSE), 1)</f>
        <v>4.2301461184010944E-2</v>
      </c>
      <c r="U15" s="7">
        <f>$B15 * IFERROR(VLOOKUP("LULUCF|PM25|Work loss days", US_national_yearly!$D:$AM, 29, FALSE) / VLOOKUP("LULUCF|PM25|Work loss days", US_national_yearly!$D:$AM, 10, FALSE), 1)</f>
        <v>4.2620437189056608E-2</v>
      </c>
      <c r="V15" s="7">
        <f>$B15 * IFERROR(VLOOKUP("LULUCF|PM25|Work loss days", US_national_yearly!$D:$AM, 30, FALSE) / VLOOKUP("LULUCF|PM25|Work loss days", US_national_yearly!$D:$AM, 10, FALSE), 1)</f>
        <v>4.2939413194102292E-2</v>
      </c>
      <c r="W15" s="7">
        <f>$B15 * IFERROR(VLOOKUP("LULUCF|PM25|Work loss days", US_national_yearly!$D:$AM, 31, FALSE) / VLOOKUP("LULUCF|PM25|Work loss days", US_national_yearly!$D:$AM, 10, FALSE), 1)</f>
        <v>4.325838919914797E-2</v>
      </c>
      <c r="X15" s="7">
        <f>$B15 * IFERROR(VLOOKUP("LULUCF|PM25|Work loss days", US_national_yearly!$D:$AM, 32, FALSE) / VLOOKUP("LULUCF|PM25|Work loss days", US_national_yearly!$D:$AM, 10, FALSE), 1)</f>
        <v>4.3541406944607508E-2</v>
      </c>
      <c r="Y15" s="7">
        <f>$B15 * IFERROR(VLOOKUP("LULUCF|PM25|Work loss days", US_national_yearly!$D:$AM, 33, FALSE) / VLOOKUP("LULUCF|PM25|Work loss days", US_national_yearly!$D:$AM, 10, FALSE), 1)</f>
        <v>4.3824424690067039E-2</v>
      </c>
      <c r="Z15" s="7">
        <f>$B15 * IFERROR(VLOOKUP("LULUCF|PM25|Work loss days", US_national_yearly!$D:$AM, 34, FALSE) / VLOOKUP("LULUCF|PM25|Work loss days", US_national_yearly!$D:$AM, 10, FALSE), 1)</f>
        <v>4.4107442435526577E-2</v>
      </c>
      <c r="AA15" s="7">
        <f>$B15 * IFERROR(VLOOKUP("LULUCF|PM25|Work loss days", US_national_yearly!$D:$AM, 35, FALSE) / VLOOKUP("LULUCF|PM25|Work loss days", US_national_yearly!$D:$AM, 10, FALSE), 1)</f>
        <v>4.4390460180986122E-2</v>
      </c>
      <c r="AB15" s="7">
        <f>$B15 * IFERROR(VLOOKUP("LULUCF|PM25|Work loss days", US_national_yearly!$D:$AM, 36, FALSE) / VLOOKUP("LULUCF|PM25|Work loss days", US_national_yearly!$D:$AM, 10, FALSE), 1)</f>
        <v>4.4673477926445652E-2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7.1931753907216657E-5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7.4081124873188786E-5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7.6230495839160929E-5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7.8379866805133072E-5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8.0529237771105215E-5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8.258795122135521E-5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8.4646664671605247E-5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8.6407389442158441E-5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8.8168114212711595E-5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8.9928838983264762E-5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9.168956375381797E-5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9.3450288524371124E-5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9.4624203928592716E-5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9.5798119332814307E-5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9.6972034737035899E-5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9.8145950141257491E-5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9.9319865545479083E-5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9.9940976392309054E-5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1.0056208723913903E-4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1.0118319808596897E-4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1.0180430893279894E-4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1.024254197796289E-4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1.0284355977178835E-4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1.0326169976394781E-4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1.0367983975610726E-4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1.0409797974826672E-4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1.0451611974042617E-4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8.4184370692287809E-4</v>
      </c>
      <c r="C2" s="7">
        <f>$B2 * IFERROR(VLOOKUP("LULUCF|NOx|Premature mortality", US_national_yearly!$D:$AM, 11, FALSE) / VLOOKUP("LULUCF|NOx|Premature mortality", US_national_yearly!$D:$AM, 10, FALSE), 1)</f>
        <v>8.542089680484943E-4</v>
      </c>
      <c r="D2" s="7">
        <f>$B2 * IFERROR(VLOOKUP("LULUCF|NOx|Premature mortality", US_national_yearly!$D:$AM, 12, FALSE) / VLOOKUP("LULUCF|NOx|Premature mortality", US_national_yearly!$D:$AM, 10, FALSE), 1)</f>
        <v>8.6657422917411041E-4</v>
      </c>
      <c r="E2" s="7">
        <f>$B2 * IFERROR(VLOOKUP("LULUCF|NOx|Premature mortality", US_national_yearly!$D:$AM, 13, FALSE) / VLOOKUP("LULUCF|NOx|Premature mortality", US_national_yearly!$D:$AM, 10, FALSE), 1)</f>
        <v>8.7893949029972673E-4</v>
      </c>
      <c r="F2" s="7">
        <f>$B2 * IFERROR(VLOOKUP("LULUCF|NOx|Premature mortality", US_national_yearly!$D:$AM, 14, FALSE) / VLOOKUP("LULUCF|NOx|Premature mortality", US_national_yearly!$D:$AM, 10, FALSE), 1)</f>
        <v>8.9130475142534295E-4</v>
      </c>
      <c r="G2" s="7">
        <f>$B2 * IFERROR(VLOOKUP("LULUCF|NOx|Premature mortality", US_national_yearly!$D:$AM, 15, FALSE) / VLOOKUP("LULUCF|NOx|Premature mortality", US_national_yearly!$D:$AM, 10, FALSE), 1)</f>
        <v>9.1351568385397252E-4</v>
      </c>
      <c r="H2" s="7">
        <f>$B2 * IFERROR(VLOOKUP("LULUCF|NOx|Premature mortality", US_national_yearly!$D:$AM, 16, FALSE) / VLOOKUP("LULUCF|NOx|Premature mortality", US_national_yearly!$D:$AM, 10, FALSE), 1)</f>
        <v>9.3572661628260254E-4</v>
      </c>
      <c r="I2" s="7">
        <f>$B2 * IFERROR(VLOOKUP("LULUCF|NOx|Premature mortality", US_national_yearly!$D:$AM, 17, FALSE) / VLOOKUP("LULUCF|NOx|Premature mortality", US_national_yearly!$D:$AM, 10, FALSE), 1)</f>
        <v>9.5006419447635313E-4</v>
      </c>
      <c r="J2" s="7">
        <f>$B2 * IFERROR(VLOOKUP("LULUCF|NOx|Premature mortality", US_national_yearly!$D:$AM, 18, FALSE) / VLOOKUP("LULUCF|NOx|Premature mortality", US_national_yearly!$D:$AM, 10, FALSE), 1)</f>
        <v>9.6440177267010383E-4</v>
      </c>
      <c r="K2" s="7">
        <f>$B2 * IFERROR(VLOOKUP("LULUCF|NOx|Premature mortality", US_national_yearly!$D:$AM, 19, FALSE) / VLOOKUP("LULUCF|NOx|Premature mortality", US_national_yearly!$D:$AM, 10, FALSE), 1)</f>
        <v>9.7873935086385442E-4</v>
      </c>
      <c r="L2" s="7">
        <f>$B2 * IFERROR(VLOOKUP("LULUCF|NOx|Premature mortality", US_national_yearly!$D:$AM, 20, FALSE) / VLOOKUP("LULUCF|NOx|Premature mortality", US_national_yearly!$D:$AM, 10, FALSE), 1)</f>
        <v>9.9307692905760501E-4</v>
      </c>
      <c r="M2" s="7">
        <f>$B2 * IFERROR(VLOOKUP("LULUCF|NOx|Premature mortality", US_national_yearly!$D:$AM, 21, FALSE) / VLOOKUP("LULUCF|NOx|Premature mortality", US_national_yearly!$D:$AM, 10, FALSE), 1)</f>
        <v>1.0074145072513558E-3</v>
      </c>
      <c r="N2" s="7">
        <f>$B2 * IFERROR(VLOOKUP("LULUCF|NOx|Premature mortality", US_national_yearly!$D:$AM, 22, FALSE) / VLOOKUP("LULUCF|NOx|Premature mortality", US_national_yearly!$D:$AM, 10, FALSE), 1)</f>
        <v>1.0180357294393245E-3</v>
      </c>
      <c r="O2" s="7">
        <f>$B2 * IFERROR(VLOOKUP("LULUCF|NOx|Premature mortality", US_national_yearly!$D:$AM, 23, FALSE) / VLOOKUP("LULUCF|NOx|Premature mortality", US_national_yearly!$D:$AM, 10, FALSE), 1)</f>
        <v>1.0286569516272932E-3</v>
      </c>
      <c r="P2" s="7">
        <f>$B2 * IFERROR(VLOOKUP("LULUCF|NOx|Premature mortality", US_national_yearly!$D:$AM, 24, FALSE) / VLOOKUP("LULUCF|NOx|Premature mortality", US_national_yearly!$D:$AM, 10, FALSE), 1)</f>
        <v>1.0392781738152619E-3</v>
      </c>
      <c r="Q2" s="7">
        <f>$B2 * IFERROR(VLOOKUP("LULUCF|NOx|Premature mortality", US_national_yearly!$D:$AM, 25, FALSE) / VLOOKUP("LULUCF|NOx|Premature mortality", US_national_yearly!$D:$AM, 10, FALSE), 1)</f>
        <v>1.0498993960032308E-3</v>
      </c>
      <c r="R2" s="7">
        <f>$B2 * IFERROR(VLOOKUP("LULUCF|NOx|Premature mortality", US_national_yearly!$D:$AM, 26, FALSE) / VLOOKUP("LULUCF|NOx|Premature mortality", US_national_yearly!$D:$AM, 10, FALSE), 1)</f>
        <v>1.0605206181911995E-3</v>
      </c>
      <c r="S2" s="7">
        <f>$B2 * IFERROR(VLOOKUP("LULUCF|NOx|Premature mortality", US_national_yearly!$D:$AM, 27, FALSE) / VLOOKUP("LULUCF|NOx|Premature mortality", US_national_yearly!$D:$AM, 10, FALSE), 1)</f>
        <v>1.0653480706299173E-3</v>
      </c>
      <c r="T2" s="7">
        <f>$B2 * IFERROR(VLOOKUP("LULUCF|NOx|Premature mortality", US_national_yearly!$D:$AM, 28, FALSE) / VLOOKUP("LULUCF|NOx|Premature mortality", US_national_yearly!$D:$AM, 10, FALSE), 1)</f>
        <v>1.0701755230686355E-3</v>
      </c>
      <c r="U2" s="7">
        <f>$B2 * IFERROR(VLOOKUP("LULUCF|NOx|Premature mortality", US_national_yearly!$D:$AM, 29, FALSE) / VLOOKUP("LULUCF|NOx|Premature mortality", US_national_yearly!$D:$AM, 10, FALSE), 1)</f>
        <v>1.0750029755073533E-3</v>
      </c>
      <c r="V2" s="7">
        <f>$B2 * IFERROR(VLOOKUP("LULUCF|NOx|Premature mortality", US_national_yearly!$D:$AM, 30, FALSE) / VLOOKUP("LULUCF|NOx|Premature mortality", US_national_yearly!$D:$AM, 10, FALSE), 1)</f>
        <v>1.0798304279460711E-3</v>
      </c>
      <c r="W2" s="7">
        <f>$B2 * IFERROR(VLOOKUP("LULUCF|NOx|Premature mortality", US_national_yearly!$D:$AM, 31, FALSE) / VLOOKUP("LULUCF|NOx|Premature mortality", US_national_yearly!$D:$AM, 10, FALSE), 1)</f>
        <v>1.0846578803847893E-3</v>
      </c>
      <c r="X2" s="7">
        <f>$B2 * IFERROR(VLOOKUP("LULUCF|NOx|Premature mortality", US_national_yearly!$D:$AM, 32, FALSE) / VLOOKUP("LULUCF|NOx|Premature mortality", US_national_yearly!$D:$AM, 10, FALSE), 1)</f>
        <v>1.0848251005662866E-3</v>
      </c>
      <c r="Y2" s="7">
        <f>$B2 * IFERROR(VLOOKUP("LULUCF|NOx|Premature mortality", US_national_yearly!$D:$AM, 33, FALSE) / VLOOKUP("LULUCF|NOx|Premature mortality", US_national_yearly!$D:$AM, 10, FALSE), 1)</f>
        <v>1.0849923207477839E-3</v>
      </c>
      <c r="Z2" s="7">
        <f>$B2 * IFERROR(VLOOKUP("LULUCF|NOx|Premature mortality", US_national_yearly!$D:$AM, 34, FALSE) / VLOOKUP("LULUCF|NOx|Premature mortality", US_national_yearly!$D:$AM, 10, FALSE), 1)</f>
        <v>1.085159540929281E-3</v>
      </c>
      <c r="AA2" s="7">
        <f>$B2 * IFERROR(VLOOKUP("LULUCF|NOx|Premature mortality", US_national_yearly!$D:$AM, 35, FALSE) / VLOOKUP("LULUCF|NOx|Premature mortality", US_national_yearly!$D:$AM, 10, FALSE), 1)</f>
        <v>1.0853267611107785E-3</v>
      </c>
      <c r="AB2" s="7">
        <f>$B2 * IFERROR(VLOOKUP("LULUCF|NOx|Premature mortality", US_national_yearly!$D:$AM, 36, FALSE) / VLOOKUP("LULUCF|NOx|Premature mortality", US_national_yearly!$D:$AM, 10, FALSE), 1)</f>
        <v>1.0854939812922758E-3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2.1704854504340351E-6</v>
      </c>
      <c r="C3" s="7">
        <f>$B3 * IFERROR(VLOOKUP("LULUCF|NOx|Infant mortality", US_national_yearly!$D:$AM, 11, FALSE) / VLOOKUP("LULUCF|NOx|Infant mortality", US_national_yearly!$D:$AM, 10, FALSE), 1)</f>
        <v>2.1498060457690127E-6</v>
      </c>
      <c r="D3" s="7">
        <f>$B3 * IFERROR(VLOOKUP("LULUCF|NOx|Infant mortality", US_national_yearly!$D:$AM, 12, FALSE) / VLOOKUP("LULUCF|NOx|Infant mortality", US_national_yearly!$D:$AM, 10, FALSE), 1)</f>
        <v>2.1291266411039903E-6</v>
      </c>
      <c r="E3" s="7">
        <f>$B3 * IFERROR(VLOOKUP("LULUCF|NOx|Infant mortality", US_national_yearly!$D:$AM, 13, FALSE) / VLOOKUP("LULUCF|NOx|Infant mortality", US_national_yearly!$D:$AM, 10, FALSE), 1)</f>
        <v>2.1084472364389679E-6</v>
      </c>
      <c r="F3" s="7">
        <f>$B3 * IFERROR(VLOOKUP("LULUCF|NOx|Infant mortality", US_national_yearly!$D:$AM, 14, FALSE) / VLOOKUP("LULUCF|NOx|Infant mortality", US_national_yearly!$D:$AM, 10, FALSE), 1)</f>
        <v>2.0877678317739455E-6</v>
      </c>
      <c r="G3" s="7">
        <f>$B3 * IFERROR(VLOOKUP("LULUCF|NOx|Infant mortality", US_national_yearly!$D:$AM, 15, FALSE) / VLOOKUP("LULUCF|NOx|Infant mortality", US_national_yearly!$D:$AM, 10, FALSE), 1)</f>
        <v>1.3859633827586106E-6</v>
      </c>
      <c r="H3" s="7">
        <f>$B3 * IFERROR(VLOOKUP("LULUCF|NOx|Infant mortality", US_national_yearly!$D:$AM, 16, FALSE) / VLOOKUP("LULUCF|NOx|Infant mortality", US_national_yearly!$D:$AM, 10, FALSE), 1)</f>
        <v>6.8415893374327591E-7</v>
      </c>
      <c r="I3" s="7">
        <f>$B3 * IFERROR(VLOOKUP("LULUCF|NOx|Infant mortality", US_national_yearly!$D:$AM, 17, FALSE) / VLOOKUP("LULUCF|NOx|Infant mortality", US_national_yearly!$D:$AM, 10, FALSE), 1)</f>
        <v>6.7932127684409914E-7</v>
      </c>
      <c r="J3" s="7">
        <f>$B3 * IFERROR(VLOOKUP("LULUCF|NOx|Infant mortality", US_national_yearly!$D:$AM, 18, FALSE) / VLOOKUP("LULUCF|NOx|Infant mortality", US_national_yearly!$D:$AM, 10, FALSE), 1)</f>
        <v>6.7448361994492215E-7</v>
      </c>
      <c r="K3" s="7">
        <f>$B3 * IFERROR(VLOOKUP("LULUCF|NOx|Infant mortality", US_national_yearly!$D:$AM, 19, FALSE) / VLOOKUP("LULUCF|NOx|Infant mortality", US_national_yearly!$D:$AM, 10, FALSE), 1)</f>
        <v>6.6964596304574538E-7</v>
      </c>
      <c r="L3" s="7">
        <f>$B3 * IFERROR(VLOOKUP("LULUCF|NOx|Infant mortality", US_national_yearly!$D:$AM, 20, FALSE) / VLOOKUP("LULUCF|NOx|Infant mortality", US_national_yearly!$D:$AM, 10, FALSE), 1)</f>
        <v>6.648083061465686E-7</v>
      </c>
      <c r="M3" s="7">
        <f>$B3 * IFERROR(VLOOKUP("LULUCF|NOx|Infant mortality", US_national_yearly!$D:$AM, 21, FALSE) / VLOOKUP("LULUCF|NOx|Infant mortality", US_national_yearly!$D:$AM, 10, FALSE), 1)</f>
        <v>6.5997064924739161E-7</v>
      </c>
      <c r="N3" s="7">
        <f>$B3 * IFERROR(VLOOKUP("LULUCF|NOx|Infant mortality", US_national_yearly!$D:$AM, 22, FALSE) / VLOOKUP("LULUCF|NOx|Infant mortality", US_national_yearly!$D:$AM, 10, FALSE), 1)</f>
        <v>6.5675961487217272E-7</v>
      </c>
      <c r="O3" s="7">
        <f>$B3 * IFERROR(VLOOKUP("LULUCF|NOx|Infant mortality", US_national_yearly!$D:$AM, 23, FALSE) / VLOOKUP("LULUCF|NOx|Infant mortality", US_national_yearly!$D:$AM, 10, FALSE), 1)</f>
        <v>6.5354858049695392E-7</v>
      </c>
      <c r="P3" s="7">
        <f>$B3 * IFERROR(VLOOKUP("LULUCF|NOx|Infant mortality", US_national_yearly!$D:$AM, 24, FALSE) / VLOOKUP("LULUCF|NOx|Infant mortality", US_national_yearly!$D:$AM, 10, FALSE), 1)</f>
        <v>6.5033754612173502E-7</v>
      </c>
      <c r="Q3" s="7">
        <f>$B3 * IFERROR(VLOOKUP("LULUCF|NOx|Infant mortality", US_national_yearly!$D:$AM, 25, FALSE) / VLOOKUP("LULUCF|NOx|Infant mortality", US_national_yearly!$D:$AM, 10, FALSE), 1)</f>
        <v>6.4712651174651612E-7</v>
      </c>
      <c r="R3" s="7">
        <f>$B3 * IFERROR(VLOOKUP("LULUCF|NOx|Infant mortality", US_national_yearly!$D:$AM, 26, FALSE) / VLOOKUP("LULUCF|NOx|Infant mortality", US_national_yearly!$D:$AM, 10, FALSE), 1)</f>
        <v>6.4391547737129723E-7</v>
      </c>
      <c r="S3" s="7">
        <f>$B3 * IFERROR(VLOOKUP("LULUCF|NOx|Infant mortality", US_national_yearly!$D:$AM, 27, FALSE) / VLOOKUP("LULUCF|NOx|Infant mortality", US_national_yearly!$D:$AM, 10, FALSE), 1)</f>
        <v>6.4005530342131322E-7</v>
      </c>
      <c r="T3" s="7">
        <f>$B3 * IFERROR(VLOOKUP("LULUCF|NOx|Infant mortality", US_national_yearly!$D:$AM, 28, FALSE) / VLOOKUP("LULUCF|NOx|Infant mortality", US_national_yearly!$D:$AM, 10, FALSE), 1)</f>
        <v>6.3619512947132921E-7</v>
      </c>
      <c r="U3" s="7">
        <f>$B3 * IFERROR(VLOOKUP("LULUCF|NOx|Infant mortality", US_national_yearly!$D:$AM, 29, FALSE) / VLOOKUP("LULUCF|NOx|Infant mortality", US_national_yearly!$D:$AM, 10, FALSE), 1)</f>
        <v>6.323349555213451E-7</v>
      </c>
      <c r="V3" s="7">
        <f>$B3 * IFERROR(VLOOKUP("LULUCF|NOx|Infant mortality", US_national_yearly!$D:$AM, 30, FALSE) / VLOOKUP("LULUCF|NOx|Infant mortality", US_national_yearly!$D:$AM, 10, FALSE), 1)</f>
        <v>6.2847478157136109E-7</v>
      </c>
      <c r="W3" s="7">
        <f>$B3 * IFERROR(VLOOKUP("LULUCF|NOx|Infant mortality", US_national_yearly!$D:$AM, 31, FALSE) / VLOOKUP("LULUCF|NOx|Infant mortality", US_national_yearly!$D:$AM, 10, FALSE), 1)</f>
        <v>6.2461460762137709E-7</v>
      </c>
      <c r="X3" s="7">
        <f>$B3 * IFERROR(VLOOKUP("LULUCF|NOx|Infant mortality", US_national_yearly!$D:$AM, 32, FALSE) / VLOOKUP("LULUCF|NOx|Infant mortality", US_national_yearly!$D:$AM, 10, FALSE), 1)</f>
        <v>6.2052649673795067E-7</v>
      </c>
      <c r="Y3" s="7">
        <f>$B3 * IFERROR(VLOOKUP("LULUCF|NOx|Infant mortality", US_national_yearly!$D:$AM, 33, FALSE) / VLOOKUP("LULUCF|NOx|Infant mortality", US_national_yearly!$D:$AM, 10, FALSE), 1)</f>
        <v>6.1643838585452405E-7</v>
      </c>
      <c r="Z3" s="7">
        <f>$B3 * IFERROR(VLOOKUP("LULUCF|NOx|Infant mortality", US_national_yearly!$D:$AM, 34, FALSE) / VLOOKUP("LULUCF|NOx|Infant mortality", US_national_yearly!$D:$AM, 10, FALSE), 1)</f>
        <v>6.1235027497109753E-7</v>
      </c>
      <c r="AA3" s="7">
        <f>$B3 * IFERROR(VLOOKUP("LULUCF|NOx|Infant mortality", US_national_yearly!$D:$AM, 35, FALSE) / VLOOKUP("LULUCF|NOx|Infant mortality", US_national_yearly!$D:$AM, 10, FALSE), 1)</f>
        <v>6.0826216408767102E-7</v>
      </c>
      <c r="AB3" s="7">
        <f>$B3 * IFERROR(VLOOKUP("LULUCF|NOx|Infant mortality", US_national_yearly!$D:$AM, 36, FALSE) / VLOOKUP("LULUCF|NOx|Infant mortality", US_national_yearly!$D:$AM, 10, FALSE), 1)</f>
        <v>6.041740532042445E-7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1.8439421664398262E-3</v>
      </c>
      <c r="C6" s="7">
        <f>$B6 * IFERROR(VLOOKUP("LULUCF|NOx|Asthma symptoms cough", US_national_yearly!$D:$AM, 11, FALSE) / VLOOKUP("LULUCF|NOx|Asthma symptoms cough", US_national_yearly!$D:$AM, 10, FALSE), 1)</f>
        <v>1.8691518705811639E-3</v>
      </c>
      <c r="D6" s="7">
        <f>$B6 * IFERROR(VLOOKUP("LULUCF|NOx|Asthma symptoms cough", US_national_yearly!$D:$AM, 12, FALSE) / VLOOKUP("LULUCF|NOx|Asthma symptoms cough", US_national_yearly!$D:$AM, 10, FALSE), 1)</f>
        <v>1.8943615747225016E-3</v>
      </c>
      <c r="E6" s="7">
        <f>$B6 * IFERROR(VLOOKUP("LULUCF|NOx|Asthma symptoms cough", US_national_yearly!$D:$AM, 13, FALSE) / VLOOKUP("LULUCF|NOx|Asthma symptoms cough", US_national_yearly!$D:$AM, 10, FALSE), 1)</f>
        <v>1.9195712788638393E-3</v>
      </c>
      <c r="F6" s="7">
        <f>$B6 * IFERROR(VLOOKUP("LULUCF|NOx|Asthma symptoms cough", US_national_yearly!$D:$AM, 14, FALSE) / VLOOKUP("LULUCF|NOx|Asthma symptoms cough", US_national_yearly!$D:$AM, 10, FALSE), 1)</f>
        <v>1.9447809830051769E-3</v>
      </c>
      <c r="G6" s="7">
        <f>$B6 * IFERROR(VLOOKUP("LULUCF|NOx|Asthma symptoms cough", US_national_yearly!$D:$AM, 15, FALSE) / VLOOKUP("LULUCF|NOx|Asthma symptoms cough", US_national_yearly!$D:$AM, 10, FALSE), 1)</f>
        <v>1.9649074089438815E-3</v>
      </c>
      <c r="H6" s="7">
        <f>$B6 * IFERROR(VLOOKUP("LULUCF|NOx|Asthma symptoms cough", US_national_yearly!$D:$AM, 16, FALSE) / VLOOKUP("LULUCF|NOx|Asthma symptoms cough", US_national_yearly!$D:$AM, 10, FALSE), 1)</f>
        <v>1.9850338348825864E-3</v>
      </c>
      <c r="I6" s="7">
        <f>$B6 * IFERROR(VLOOKUP("LULUCF|NOx|Asthma symptoms cough", US_national_yearly!$D:$AM, 17, FALSE) / VLOOKUP("LULUCF|NOx|Asthma symptoms cough", US_national_yearly!$D:$AM, 10, FALSE), 1)</f>
        <v>1.9919610629683085E-3</v>
      </c>
      <c r="J6" s="7">
        <f>$B6 * IFERROR(VLOOKUP("LULUCF|NOx|Asthma symptoms cough", US_national_yearly!$D:$AM, 18, FALSE) / VLOOKUP("LULUCF|NOx|Asthma symptoms cough", US_national_yearly!$D:$AM, 10, FALSE), 1)</f>
        <v>1.998888291054031E-3</v>
      </c>
      <c r="K6" s="7">
        <f>$B6 * IFERROR(VLOOKUP("LULUCF|NOx|Asthma symptoms cough", US_national_yearly!$D:$AM, 19, FALSE) / VLOOKUP("LULUCF|NOx|Asthma symptoms cough", US_national_yearly!$D:$AM, 10, FALSE), 1)</f>
        <v>2.0058155191397531E-3</v>
      </c>
      <c r="L6" s="7">
        <f>$B6 * IFERROR(VLOOKUP("LULUCF|NOx|Asthma symptoms cough", US_national_yearly!$D:$AM, 20, FALSE) / VLOOKUP("LULUCF|NOx|Asthma symptoms cough", US_national_yearly!$D:$AM, 10, FALSE), 1)</f>
        <v>2.0127427472254752E-3</v>
      </c>
      <c r="M6" s="7">
        <f>$B6 * IFERROR(VLOOKUP("LULUCF|NOx|Asthma symptoms cough", US_national_yearly!$D:$AM, 21, FALSE) / VLOOKUP("LULUCF|NOx|Asthma symptoms cough", US_national_yearly!$D:$AM, 10, FALSE), 1)</f>
        <v>2.0196699753111977E-3</v>
      </c>
      <c r="N6" s="7">
        <f>$B6 * IFERROR(VLOOKUP("LULUCF|NOx|Asthma symptoms cough", US_national_yearly!$D:$AM, 22, FALSE) / VLOOKUP("LULUCF|NOx|Asthma symptoms cough", US_national_yearly!$D:$AM, 10, FALSE), 1)</f>
        <v>2.0277026121283542E-3</v>
      </c>
      <c r="O6" s="7">
        <f>$B6 * IFERROR(VLOOKUP("LULUCF|NOx|Asthma symptoms cough", US_national_yearly!$D:$AM, 23, FALSE) / VLOOKUP("LULUCF|NOx|Asthma symptoms cough", US_national_yearly!$D:$AM, 10, FALSE), 1)</f>
        <v>2.0357352489455108E-3</v>
      </c>
      <c r="P6" s="7">
        <f>$B6 * IFERROR(VLOOKUP("LULUCF|NOx|Asthma symptoms cough", US_national_yearly!$D:$AM, 24, FALSE) / VLOOKUP("LULUCF|NOx|Asthma symptoms cough", US_national_yearly!$D:$AM, 10, FALSE), 1)</f>
        <v>2.0437678857626669E-3</v>
      </c>
      <c r="Q6" s="7">
        <f>$B6 * IFERROR(VLOOKUP("LULUCF|NOx|Asthma symptoms cough", US_national_yearly!$D:$AM, 25, FALSE) / VLOOKUP("LULUCF|NOx|Asthma symptoms cough", US_national_yearly!$D:$AM, 10, FALSE), 1)</f>
        <v>2.0518005225798239E-3</v>
      </c>
      <c r="R6" s="7">
        <f>$B6 * IFERROR(VLOOKUP("LULUCF|NOx|Asthma symptoms cough", US_national_yearly!$D:$AM, 26, FALSE) / VLOOKUP("LULUCF|NOx|Asthma symptoms cough", US_national_yearly!$D:$AM, 10, FALSE), 1)</f>
        <v>2.0598331593969805E-3</v>
      </c>
      <c r="S6" s="7">
        <f>$B6 * IFERROR(VLOOKUP("LULUCF|NOx|Asthma symptoms cough", US_national_yearly!$D:$AM, 27, FALSE) / VLOOKUP("LULUCF|NOx|Asthma symptoms cough", US_national_yearly!$D:$AM, 10, FALSE), 1)</f>
        <v>2.0703263414560556E-3</v>
      </c>
      <c r="T6" s="7">
        <f>$B6 * IFERROR(VLOOKUP("LULUCF|NOx|Asthma symptoms cough", US_national_yearly!$D:$AM, 28, FALSE) / VLOOKUP("LULUCF|NOx|Asthma symptoms cough", US_national_yearly!$D:$AM, 10, FALSE), 1)</f>
        <v>2.0808195235151304E-3</v>
      </c>
      <c r="U6" s="7">
        <f>$B6 * IFERROR(VLOOKUP("LULUCF|NOx|Asthma symptoms cough", US_national_yearly!$D:$AM, 29, FALSE) / VLOOKUP("LULUCF|NOx|Asthma symptoms cough", US_national_yearly!$D:$AM, 10, FALSE), 1)</f>
        <v>2.0913127055742051E-3</v>
      </c>
      <c r="V6" s="7">
        <f>$B6 * IFERROR(VLOOKUP("LULUCF|NOx|Asthma symptoms cough", US_national_yearly!$D:$AM, 30, FALSE) / VLOOKUP("LULUCF|NOx|Asthma symptoms cough", US_national_yearly!$D:$AM, 10, FALSE), 1)</f>
        <v>2.1018058876332802E-3</v>
      </c>
      <c r="W6" s="7">
        <f>$B6 * IFERROR(VLOOKUP("LULUCF|NOx|Asthma symptoms cough", US_national_yearly!$D:$AM, 31, FALSE) / VLOOKUP("LULUCF|NOx|Asthma symptoms cough", US_national_yearly!$D:$AM, 10, FALSE), 1)</f>
        <v>2.112299069692355E-3</v>
      </c>
      <c r="X6" s="7">
        <f>$B6 * IFERROR(VLOOKUP("LULUCF|NOx|Asthma symptoms cough", US_national_yearly!$D:$AM, 32, FALSE) / VLOOKUP("LULUCF|NOx|Asthma symptoms cough", US_national_yearly!$D:$AM, 10, FALSE), 1)</f>
        <v>2.1220487435438468E-3</v>
      </c>
      <c r="Y6" s="7">
        <f>$B6 * IFERROR(VLOOKUP("LULUCF|NOx|Asthma symptoms cough", US_national_yearly!$D:$AM, 33, FALSE) / VLOOKUP("LULUCF|NOx|Asthma symptoms cough", US_national_yearly!$D:$AM, 10, FALSE), 1)</f>
        <v>2.1317984173953386E-3</v>
      </c>
      <c r="Z6" s="7">
        <f>$B6 * IFERROR(VLOOKUP("LULUCF|NOx|Asthma symptoms cough", US_national_yearly!$D:$AM, 34, FALSE) / VLOOKUP("LULUCF|NOx|Asthma symptoms cough", US_national_yearly!$D:$AM, 10, FALSE), 1)</f>
        <v>2.1415480912468305E-3</v>
      </c>
      <c r="AA6" s="7">
        <f>$B6 * IFERROR(VLOOKUP("LULUCF|NOx|Asthma symptoms cough", US_national_yearly!$D:$AM, 35, FALSE) / VLOOKUP("LULUCF|NOx|Asthma symptoms cough", US_national_yearly!$D:$AM, 10, FALSE), 1)</f>
        <v>2.1512977650983223E-3</v>
      </c>
      <c r="AB6" s="7">
        <f>$B6 * IFERROR(VLOOKUP("LULUCF|NOx|Asthma symptoms cough", US_national_yearly!$D:$AM, 36, FALSE) / VLOOKUP("LULUCF|NOx|Asthma symptoms cough", US_national_yearly!$D:$AM, 10, FALSE), 1)</f>
        <v>2.1610474389498146E-3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2.4830883591267618E-3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2.5170362366582328E-3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2.5509841141897033E-3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2.5849319917211739E-3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2.6188798692526449E-3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2.645982505542589E-3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2.6730851418325331E-3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2.6824134817445395E-3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2.6917418216565454E-3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2.7010701615685518E-3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2.7103985014805577E-3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2.7197268413925637E-3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2.7305437462131548E-3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2.741360651033746E-3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2.7521775558543363E-3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2.7629944606749274E-3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2.7738113654955186E-3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2.787941688389466E-3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2.8020720112834139E-3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2.816202334177361E-3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2.830332657071308E-3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2.8444629799652555E-3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2.8575920802482654E-3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2.8707211805312758E-3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2.8838502808142866E-3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2.896979381097297E-3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2.9101084813803074E-3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3.7939069720154136E-3</v>
      </c>
      <c r="C8" s="7">
        <f>$B8 * IFERROR(VLOOKUP("LULUCF|NOx|Asthma symptoms wheeze", US_national_yearly!$D:$AM, 11, FALSE) / VLOOKUP("LULUCF|NOx|Asthma symptoms wheeze", US_national_yearly!$D:$AM, 10, FALSE), 1)</f>
        <v>3.845775883186753E-3</v>
      </c>
      <c r="D8" s="7">
        <f>$B8 * IFERROR(VLOOKUP("LULUCF|NOx|Asthma symptoms wheeze", US_national_yearly!$D:$AM, 12, FALSE) / VLOOKUP("LULUCF|NOx|Asthma symptoms wheeze", US_national_yearly!$D:$AM, 10, FALSE), 1)</f>
        <v>3.8976447943580936E-3</v>
      </c>
      <c r="E8" s="7">
        <f>$B8 * IFERROR(VLOOKUP("LULUCF|NOx|Asthma symptoms wheeze", US_national_yearly!$D:$AM, 13, FALSE) / VLOOKUP("LULUCF|NOx|Asthma symptoms wheeze", US_national_yearly!$D:$AM, 10, FALSE), 1)</f>
        <v>3.9495137055294326E-3</v>
      </c>
      <c r="F8" s="7">
        <f>$B8 * IFERROR(VLOOKUP("LULUCF|NOx|Asthma symptoms wheeze", US_national_yearly!$D:$AM, 14, FALSE) / VLOOKUP("LULUCF|NOx|Asthma symptoms wheeze", US_national_yearly!$D:$AM, 10, FALSE), 1)</f>
        <v>4.0013826167007716E-3</v>
      </c>
      <c r="G8" s="7">
        <f>$B8 * IFERROR(VLOOKUP("LULUCF|NOx|Asthma symptoms wheeze", US_national_yearly!$D:$AM, 15, FALSE) / VLOOKUP("LULUCF|NOx|Asthma symptoms wheeze", US_national_yearly!$D:$AM, 10, FALSE), 1)</f>
        <v>4.0427926941112849E-3</v>
      </c>
      <c r="H8" s="7">
        <f>$B8 * IFERROR(VLOOKUP("LULUCF|NOx|Asthma symptoms wheeze", US_national_yearly!$D:$AM, 16, FALSE) / VLOOKUP("LULUCF|NOx|Asthma symptoms wheeze", US_national_yearly!$D:$AM, 10, FALSE), 1)</f>
        <v>4.0842027715217982E-3</v>
      </c>
      <c r="I8" s="7">
        <f>$B8 * IFERROR(VLOOKUP("LULUCF|NOx|Asthma symptoms wheeze", US_national_yearly!$D:$AM, 17, FALSE) / VLOOKUP("LULUCF|NOx|Asthma symptoms wheeze", US_national_yearly!$D:$AM, 10, FALSE), 1)</f>
        <v>4.0984555282309676E-3</v>
      </c>
      <c r="J8" s="7">
        <f>$B8 * IFERROR(VLOOKUP("LULUCF|NOx|Asthma symptoms wheeze", US_national_yearly!$D:$AM, 18, FALSE) / VLOOKUP("LULUCF|NOx|Asthma symptoms wheeze", US_national_yearly!$D:$AM, 10, FALSE), 1)</f>
        <v>4.112708284940138E-3</v>
      </c>
      <c r="K8" s="7">
        <f>$B8 * IFERROR(VLOOKUP("LULUCF|NOx|Asthma symptoms wheeze", US_national_yearly!$D:$AM, 19, FALSE) / VLOOKUP("LULUCF|NOx|Asthma symptoms wheeze", US_national_yearly!$D:$AM, 10, FALSE), 1)</f>
        <v>4.1269610416493066E-3</v>
      </c>
      <c r="L8" s="7">
        <f>$B8 * IFERROR(VLOOKUP("LULUCF|NOx|Asthma symptoms wheeze", US_national_yearly!$D:$AM, 20, FALSE) / VLOOKUP("LULUCF|NOx|Asthma symptoms wheeze", US_national_yearly!$D:$AM, 10, FALSE), 1)</f>
        <v>4.1412137983584769E-3</v>
      </c>
      <c r="M8" s="7">
        <f>$B8 * IFERROR(VLOOKUP("LULUCF|NOx|Asthma symptoms wheeze", US_national_yearly!$D:$AM, 21, FALSE) / VLOOKUP("LULUCF|NOx|Asthma symptoms wheeze", US_national_yearly!$D:$AM, 10, FALSE), 1)</f>
        <v>4.1554665550676472E-3</v>
      </c>
      <c r="N8" s="7">
        <f>$B8 * IFERROR(VLOOKUP("LULUCF|NOx|Asthma symptoms wheeze", US_national_yearly!$D:$AM, 22, FALSE) / VLOOKUP("LULUCF|NOx|Asthma symptoms wheeze", US_national_yearly!$D:$AM, 10, FALSE), 1)</f>
        <v>4.1719936878423999E-3</v>
      </c>
      <c r="O8" s="7">
        <f>$B8 * IFERROR(VLOOKUP("LULUCF|NOx|Asthma symptoms wheeze", US_national_yearly!$D:$AM, 23, FALSE) / VLOOKUP("LULUCF|NOx|Asthma symptoms wheeze", US_national_yearly!$D:$AM, 10, FALSE), 1)</f>
        <v>4.1885208206171535E-3</v>
      </c>
      <c r="P8" s="7">
        <f>$B8 * IFERROR(VLOOKUP("LULUCF|NOx|Asthma symptoms wheeze", US_national_yearly!$D:$AM, 24, FALSE) / VLOOKUP("LULUCF|NOx|Asthma symptoms wheeze", US_national_yearly!$D:$AM, 10, FALSE), 1)</f>
        <v>4.205047953391907E-3</v>
      </c>
      <c r="Q8" s="7">
        <f>$B8 * IFERROR(VLOOKUP("LULUCF|NOx|Asthma symptoms wheeze", US_national_yearly!$D:$AM, 25, FALSE) / VLOOKUP("LULUCF|NOx|Asthma symptoms wheeze", US_national_yearly!$D:$AM, 10, FALSE), 1)</f>
        <v>4.2215750861666606E-3</v>
      </c>
      <c r="R8" s="7">
        <f>$B8 * IFERROR(VLOOKUP("LULUCF|NOx|Asthma symptoms wheeze", US_national_yearly!$D:$AM, 26, FALSE) / VLOOKUP("LULUCF|NOx|Asthma symptoms wheeze", US_national_yearly!$D:$AM, 10, FALSE), 1)</f>
        <v>4.2381022189414141E-3</v>
      </c>
      <c r="S8" s="7">
        <f>$B8 * IFERROR(VLOOKUP("LULUCF|NOx|Asthma symptoms wheeze", US_national_yearly!$D:$AM, 27, FALSE) / VLOOKUP("LULUCF|NOx|Asthma symptoms wheeze", US_national_yearly!$D:$AM, 10, FALSE), 1)</f>
        <v>4.2596919181852365E-3</v>
      </c>
      <c r="T8" s="7">
        <f>$B8 * IFERROR(VLOOKUP("LULUCF|NOx|Asthma symptoms wheeze", US_national_yearly!$D:$AM, 28, FALSE) / VLOOKUP("LULUCF|NOx|Asthma symptoms wheeze", US_national_yearly!$D:$AM, 10, FALSE), 1)</f>
        <v>4.2812816174290589E-3</v>
      </c>
      <c r="U8" s="7">
        <f>$B8 * IFERROR(VLOOKUP("LULUCF|NOx|Asthma symptoms wheeze", US_national_yearly!$D:$AM, 29, FALSE) / VLOOKUP("LULUCF|NOx|Asthma symptoms wheeze", US_national_yearly!$D:$AM, 10, FALSE), 1)</f>
        <v>4.3028713166728813E-3</v>
      </c>
      <c r="V8" s="7">
        <f>$B8 * IFERROR(VLOOKUP("LULUCF|NOx|Asthma symptoms wheeze", US_national_yearly!$D:$AM, 30, FALSE) / VLOOKUP("LULUCF|NOx|Asthma symptoms wheeze", US_national_yearly!$D:$AM, 10, FALSE), 1)</f>
        <v>4.3244610159167045E-3</v>
      </c>
      <c r="W8" s="7">
        <f>$B8 * IFERROR(VLOOKUP("LULUCF|NOx|Asthma symptoms wheeze", US_national_yearly!$D:$AM, 31, FALSE) / VLOOKUP("LULUCF|NOx|Asthma symptoms wheeze", US_national_yearly!$D:$AM, 10, FALSE), 1)</f>
        <v>4.346050715160526E-3</v>
      </c>
      <c r="X8" s="7">
        <f>$B8 * IFERROR(VLOOKUP("LULUCF|NOx|Asthma symptoms wheeze", US_national_yearly!$D:$AM, 32, FALSE) / VLOOKUP("LULUCF|NOx|Asthma symptoms wheeze", US_national_yearly!$D:$AM, 10, FALSE), 1)</f>
        <v>4.3661106478789817E-3</v>
      </c>
      <c r="Y8" s="7">
        <f>$B8 * IFERROR(VLOOKUP("LULUCF|NOx|Asthma symptoms wheeze", US_national_yearly!$D:$AM, 33, FALSE) / VLOOKUP("LULUCF|NOx|Asthma symptoms wheeze", US_national_yearly!$D:$AM, 10, FALSE), 1)</f>
        <v>4.3861705805974364E-3</v>
      </c>
      <c r="Z8" s="7">
        <f>$B8 * IFERROR(VLOOKUP("LULUCF|NOx|Asthma symptoms wheeze", US_national_yearly!$D:$AM, 34, FALSE) / VLOOKUP("LULUCF|NOx|Asthma symptoms wheeze", US_national_yearly!$D:$AM, 10, FALSE), 1)</f>
        <v>4.4062305133158921E-3</v>
      </c>
      <c r="AA8" s="7">
        <f>$B8 * IFERROR(VLOOKUP("LULUCF|NOx|Asthma symptoms wheeze", US_national_yearly!$D:$AM, 35, FALSE) / VLOOKUP("LULUCF|NOx|Asthma symptoms wheeze", US_national_yearly!$D:$AM, 10, FALSE), 1)</f>
        <v>4.4262904460343477E-3</v>
      </c>
      <c r="AB8" s="7">
        <f>$B8 * IFERROR(VLOOKUP("LULUCF|NOx|Asthma symptoms wheeze", US_national_yearly!$D:$AM, 36, FALSE) / VLOOKUP("LULUCF|NOx|Asthma symptoms wheeze", US_national_yearly!$D:$AM, 10, FALSE), 1)</f>
        <v>4.4463503787528034E-3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4.9302203958865825E-5</v>
      </c>
      <c r="C12" s="7">
        <f>$B12 * IFERROR(VLOOKUP("LULUCF|NOx|Respiratory hospital admissions", US_national_yearly!$D:$AM, 11, FALSE) / VLOOKUP("LULUCF|NOx|Respiratory hospital admissions", US_national_yearly!$D:$AM, 10, FALSE), 1)</f>
        <v>5.0532030905718553E-5</v>
      </c>
      <c r="D12" s="7">
        <f>$B12 * IFERROR(VLOOKUP("LULUCF|NOx|Respiratory hospital admissions", US_national_yearly!$D:$AM, 12, FALSE) / VLOOKUP("LULUCF|NOx|Respiratory hospital admissions", US_national_yearly!$D:$AM, 10, FALSE), 1)</f>
        <v>5.1761857852571295E-5</v>
      </c>
      <c r="E12" s="7">
        <f>$B12 * IFERROR(VLOOKUP("LULUCF|NOx|Respiratory hospital admissions", US_national_yearly!$D:$AM, 13, FALSE) / VLOOKUP("LULUCF|NOx|Respiratory hospital admissions", US_national_yearly!$D:$AM, 10, FALSE), 1)</f>
        <v>5.2991684799424037E-5</v>
      </c>
      <c r="F12" s="7">
        <f>$B12 * IFERROR(VLOOKUP("LULUCF|NOx|Respiratory hospital admissions", US_national_yearly!$D:$AM, 14, FALSE) / VLOOKUP("LULUCF|NOx|Respiratory hospital admissions", US_national_yearly!$D:$AM, 10, FALSE), 1)</f>
        <v>5.4221511746276778E-5</v>
      </c>
      <c r="G12" s="7">
        <f>$B12 * IFERROR(VLOOKUP("LULUCF|NOx|Respiratory hospital admissions", US_national_yearly!$D:$AM, 15, FALSE) / VLOOKUP("LULUCF|NOx|Respiratory hospital admissions", US_national_yearly!$D:$AM, 10, FALSE), 1)</f>
        <v>5.5397268165794649E-5</v>
      </c>
      <c r="H12" s="7">
        <f>$B12 * IFERROR(VLOOKUP("LULUCF|NOx|Respiratory hospital admissions", US_national_yearly!$D:$AM, 16, FALSE) / VLOOKUP("LULUCF|NOx|Respiratory hospital admissions", US_national_yearly!$D:$AM, 10, FALSE), 1)</f>
        <v>5.657302458531252E-5</v>
      </c>
      <c r="I12" s="7">
        <f>$B12 * IFERROR(VLOOKUP("LULUCF|NOx|Respiratory hospital admissions", US_national_yearly!$D:$AM, 17, FALSE) / VLOOKUP("LULUCF|NOx|Respiratory hospital admissions", US_national_yearly!$D:$AM, 10, FALSE), 1)</f>
        <v>5.7571265956589042E-5</v>
      </c>
      <c r="J12" s="7">
        <f>$B12 * IFERROR(VLOOKUP("LULUCF|NOx|Respiratory hospital admissions", US_national_yearly!$D:$AM, 18, FALSE) / VLOOKUP("LULUCF|NOx|Respiratory hospital admissions", US_national_yearly!$D:$AM, 10, FALSE), 1)</f>
        <v>5.8569507327865551E-5</v>
      </c>
      <c r="K12" s="7">
        <f>$B12 * IFERROR(VLOOKUP("LULUCF|NOx|Respiratory hospital admissions", US_national_yearly!$D:$AM, 19, FALSE) / VLOOKUP("LULUCF|NOx|Respiratory hospital admissions", US_national_yearly!$D:$AM, 10, FALSE), 1)</f>
        <v>5.9567748699142072E-5</v>
      </c>
      <c r="L12" s="7">
        <f>$B12 * IFERROR(VLOOKUP("LULUCF|NOx|Respiratory hospital admissions", US_national_yearly!$D:$AM, 20, FALSE) / VLOOKUP("LULUCF|NOx|Respiratory hospital admissions", US_national_yearly!$D:$AM, 10, FALSE), 1)</f>
        <v>6.0565990070418594E-5</v>
      </c>
      <c r="M12" s="7">
        <f>$B12 * IFERROR(VLOOKUP("LULUCF|NOx|Respiratory hospital admissions", US_national_yearly!$D:$AM, 21, FALSE) / VLOOKUP("LULUCF|NOx|Respiratory hospital admissions", US_national_yearly!$D:$AM, 10, FALSE), 1)</f>
        <v>6.1564231441695123E-5</v>
      </c>
      <c r="N12" s="7">
        <f>$B12 * IFERROR(VLOOKUP("LULUCF|NOx|Respiratory hospital admissions", US_national_yearly!$D:$AM, 22, FALSE) / VLOOKUP("LULUCF|NOx|Respiratory hospital admissions", US_national_yearly!$D:$AM, 10, FALSE), 1)</f>
        <v>6.2231573771289481E-5</v>
      </c>
      <c r="O12" s="7">
        <f>$B12 * IFERROR(VLOOKUP("LULUCF|NOx|Respiratory hospital admissions", US_national_yearly!$D:$AM, 23, FALSE) / VLOOKUP("LULUCF|NOx|Respiratory hospital admissions", US_national_yearly!$D:$AM, 10, FALSE), 1)</f>
        <v>6.2898916100883879E-5</v>
      </c>
      <c r="P12" s="7">
        <f>$B12 * IFERROR(VLOOKUP("LULUCF|NOx|Respiratory hospital admissions", US_national_yearly!$D:$AM, 24, FALSE) / VLOOKUP("LULUCF|NOx|Respiratory hospital admissions", US_national_yearly!$D:$AM, 10, FALSE), 1)</f>
        <v>6.3566258430478251E-5</v>
      </c>
      <c r="Q12" s="7">
        <f>$B12 * IFERROR(VLOOKUP("LULUCF|NOx|Respiratory hospital admissions", US_national_yearly!$D:$AM, 25, FALSE) / VLOOKUP("LULUCF|NOx|Respiratory hospital admissions", US_national_yearly!$D:$AM, 10, FALSE), 1)</f>
        <v>6.4233600760072636E-5</v>
      </c>
      <c r="R12" s="7">
        <f>$B12 * IFERROR(VLOOKUP("LULUCF|NOx|Respiratory hospital admissions", US_national_yearly!$D:$AM, 26, FALSE) / VLOOKUP("LULUCF|NOx|Respiratory hospital admissions", US_national_yearly!$D:$AM, 10, FALSE), 1)</f>
        <v>6.4900943089667021E-5</v>
      </c>
      <c r="S12" s="7">
        <f>$B12 * IFERROR(VLOOKUP("LULUCF|NOx|Respiratory hospital admissions", US_national_yearly!$D:$AM, 27, FALSE) / VLOOKUP("LULUCF|NOx|Respiratory hospital admissions", US_national_yearly!$D:$AM, 10, FALSE), 1)</f>
        <v>6.5258487026981154E-5</v>
      </c>
      <c r="T12" s="7">
        <f>$B12 * IFERROR(VLOOKUP("LULUCF|NOx|Respiratory hospital admissions", US_national_yearly!$D:$AM, 28, FALSE) / VLOOKUP("LULUCF|NOx|Respiratory hospital admissions", US_national_yearly!$D:$AM, 10, FALSE), 1)</f>
        <v>6.5616030964295286E-5</v>
      </c>
      <c r="U12" s="7">
        <f>$B12 * IFERROR(VLOOKUP("LULUCF|NOx|Respiratory hospital admissions", US_national_yearly!$D:$AM, 29, FALSE) / VLOOKUP("LULUCF|NOx|Respiratory hospital admissions", US_national_yearly!$D:$AM, 10, FALSE), 1)</f>
        <v>6.5973574901609432E-5</v>
      </c>
      <c r="V12" s="7">
        <f>$B12 * IFERROR(VLOOKUP("LULUCF|NOx|Respiratory hospital admissions", US_national_yearly!$D:$AM, 30, FALSE) / VLOOKUP("LULUCF|NOx|Respiratory hospital admissions", US_national_yearly!$D:$AM, 10, FALSE), 1)</f>
        <v>6.6331118838923551E-5</v>
      </c>
      <c r="W12" s="7">
        <f>$B12 * IFERROR(VLOOKUP("LULUCF|NOx|Respiratory hospital admissions", US_national_yearly!$D:$AM, 31, FALSE) / VLOOKUP("LULUCF|NOx|Respiratory hospital admissions", US_national_yearly!$D:$AM, 10, FALSE), 1)</f>
        <v>6.6688662776237696E-5</v>
      </c>
      <c r="X12" s="7">
        <f>$B12 * IFERROR(VLOOKUP("LULUCF|NOx|Respiratory hospital admissions", US_national_yearly!$D:$AM, 32, FALSE) / VLOOKUP("LULUCF|NOx|Respiratory hospital admissions", US_national_yearly!$D:$AM, 10, FALSE), 1)</f>
        <v>6.6932997606540347E-5</v>
      </c>
      <c r="Y12" s="7">
        <f>$B12 * IFERROR(VLOOKUP("LULUCF|NOx|Respiratory hospital admissions", US_national_yearly!$D:$AM, 33, FALSE) / VLOOKUP("LULUCF|NOx|Respiratory hospital admissions", US_national_yearly!$D:$AM, 10, FALSE), 1)</f>
        <v>6.7177332436843011E-5</v>
      </c>
      <c r="Z12" s="7">
        <f>$B12 * IFERROR(VLOOKUP("LULUCF|NOx|Respiratory hospital admissions", US_national_yearly!$D:$AM, 34, FALSE) / VLOOKUP("LULUCF|NOx|Respiratory hospital admissions", US_national_yearly!$D:$AM, 10, FALSE), 1)</f>
        <v>6.7421667267145675E-5</v>
      </c>
      <c r="AA12" s="7">
        <f>$B12 * IFERROR(VLOOKUP("LULUCF|NOx|Respiratory hospital admissions", US_national_yearly!$D:$AM, 35, FALSE) / VLOOKUP("LULUCF|NOx|Respiratory hospital admissions", US_national_yearly!$D:$AM, 10, FALSE), 1)</f>
        <v>6.7666002097448326E-5</v>
      </c>
      <c r="AB12" s="7">
        <f>$B12 * IFERROR(VLOOKUP("LULUCF|NOx|Respiratory hospital admissions", US_national_yearly!$D:$AM, 36, FALSE) / VLOOKUP("LULUCF|NOx|Respiratory hospital admissions", US_national_yearly!$D:$AM, 10, FALSE), 1)</f>
        <v>6.7910336927750977E-5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2.9531152862597349E-4</v>
      </c>
      <c r="C13" s="7">
        <f>$B13 * IFERROR(VLOOKUP("LULUCF|NOx|Non-fatal heart attacks", US_national_yearly!$D:$AM, 11, FALSE) / VLOOKUP("LULUCF|NOx|Non-fatal heart attacks", US_national_yearly!$D:$AM, 10, FALSE), 1)</f>
        <v>3.0375422504333287E-4</v>
      </c>
      <c r="D13" s="7">
        <f>$B13 * IFERROR(VLOOKUP("LULUCF|NOx|Non-fatal heart attacks", US_national_yearly!$D:$AM, 12, FALSE) / VLOOKUP("LULUCF|NOx|Non-fatal heart attacks", US_national_yearly!$D:$AM, 10, FALSE), 1)</f>
        <v>3.1219692146069224E-4</v>
      </c>
      <c r="E13" s="7">
        <f>$B13 * IFERROR(VLOOKUP("LULUCF|NOx|Non-fatal heart attacks", US_national_yearly!$D:$AM, 13, FALSE) / VLOOKUP("LULUCF|NOx|Non-fatal heart attacks", US_national_yearly!$D:$AM, 10, FALSE), 1)</f>
        <v>3.2063961787805157E-4</v>
      </c>
      <c r="F13" s="7">
        <f>$B13 * IFERROR(VLOOKUP("LULUCF|NOx|Non-fatal heart attacks", US_national_yearly!$D:$AM, 14, FALSE) / VLOOKUP("LULUCF|NOx|Non-fatal heart attacks", US_national_yearly!$D:$AM, 10, FALSE), 1)</f>
        <v>3.29082314295411E-4</v>
      </c>
      <c r="G13" s="7">
        <f>$B13 * IFERROR(VLOOKUP("LULUCF|NOx|Non-fatal heart attacks", US_national_yearly!$D:$AM, 15, FALSE) / VLOOKUP("LULUCF|NOx|Non-fatal heart attacks", US_national_yearly!$D:$AM, 10, FALSE), 1)</f>
        <v>3.3697199655057956E-4</v>
      </c>
      <c r="H13" s="7">
        <f>$B13 * IFERROR(VLOOKUP("LULUCF|NOx|Non-fatal heart attacks", US_national_yearly!$D:$AM, 16, FALSE) / VLOOKUP("LULUCF|NOx|Non-fatal heart attacks", US_national_yearly!$D:$AM, 10, FALSE), 1)</f>
        <v>3.4486167880574817E-4</v>
      </c>
      <c r="I13" s="7">
        <f>$B13 * IFERROR(VLOOKUP("LULUCF|NOx|Non-fatal heart attacks", US_national_yearly!$D:$AM, 17, FALSE) / VLOOKUP("LULUCF|NOx|Non-fatal heart attacks", US_national_yearly!$D:$AM, 10, FALSE), 1)</f>
        <v>3.5108179138715443E-4</v>
      </c>
      <c r="J13" s="7">
        <f>$B13 * IFERROR(VLOOKUP("LULUCF|NOx|Non-fatal heart attacks", US_national_yearly!$D:$AM, 18, FALSE) / VLOOKUP("LULUCF|NOx|Non-fatal heart attacks", US_national_yearly!$D:$AM, 10, FALSE), 1)</f>
        <v>3.5730190396856073E-4</v>
      </c>
      <c r="K13" s="7">
        <f>$B13 * IFERROR(VLOOKUP("LULUCF|NOx|Non-fatal heart attacks", US_national_yearly!$D:$AM, 19, FALSE) / VLOOKUP("LULUCF|NOx|Non-fatal heart attacks", US_national_yearly!$D:$AM, 10, FALSE), 1)</f>
        <v>3.6352201654996682E-4</v>
      </c>
      <c r="L13" s="7">
        <f>$B13 * IFERROR(VLOOKUP("LULUCF|NOx|Non-fatal heart attacks", US_national_yearly!$D:$AM, 20, FALSE) / VLOOKUP("LULUCF|NOx|Non-fatal heart attacks", US_national_yearly!$D:$AM, 10, FALSE), 1)</f>
        <v>3.6974212913137334E-4</v>
      </c>
      <c r="M13" s="7">
        <f>$B13 * IFERROR(VLOOKUP("LULUCF|NOx|Non-fatal heart attacks", US_national_yearly!$D:$AM, 21, FALSE) / VLOOKUP("LULUCF|NOx|Non-fatal heart attacks", US_national_yearly!$D:$AM, 10, FALSE), 1)</f>
        <v>3.7596224171277954E-4</v>
      </c>
      <c r="N13" s="7">
        <f>$B13 * IFERROR(VLOOKUP("LULUCF|NOx|Non-fatal heart attacks", US_national_yearly!$D:$AM, 22, FALSE) / VLOOKUP("LULUCF|NOx|Non-fatal heart attacks", US_national_yearly!$D:$AM, 10, FALSE), 1)</f>
        <v>3.7970445007648126E-4</v>
      </c>
      <c r="O13" s="7">
        <f>$B13 * IFERROR(VLOOKUP("LULUCF|NOx|Non-fatal heart attacks", US_national_yearly!$D:$AM, 23, FALSE) / VLOOKUP("LULUCF|NOx|Non-fatal heart attacks", US_national_yearly!$D:$AM, 10, FALSE), 1)</f>
        <v>3.8344665844018303E-4</v>
      </c>
      <c r="P13" s="7">
        <f>$B13 * IFERROR(VLOOKUP("LULUCF|NOx|Non-fatal heart attacks", US_national_yearly!$D:$AM, 24, FALSE) / VLOOKUP("LULUCF|NOx|Non-fatal heart attacks", US_national_yearly!$D:$AM, 10, FALSE), 1)</f>
        <v>3.871888668038847E-4</v>
      </c>
      <c r="Q13" s="7">
        <f>$B13 * IFERROR(VLOOKUP("LULUCF|NOx|Non-fatal heart attacks", US_national_yearly!$D:$AM, 25, FALSE) / VLOOKUP("LULUCF|NOx|Non-fatal heart attacks", US_national_yearly!$D:$AM, 10, FALSE), 1)</f>
        <v>3.9093107516758653E-4</v>
      </c>
      <c r="R13" s="7">
        <f>$B13 * IFERROR(VLOOKUP("LULUCF|NOx|Non-fatal heart attacks", US_national_yearly!$D:$AM, 26, FALSE) / VLOOKUP("LULUCF|NOx|Non-fatal heart attacks", US_national_yearly!$D:$AM, 10, FALSE), 1)</f>
        <v>3.946732835312883E-4</v>
      </c>
      <c r="S13" s="7">
        <f>$B13 * IFERROR(VLOOKUP("LULUCF|NOx|Non-fatal heart attacks", US_national_yearly!$D:$AM, 27, FALSE) / VLOOKUP("LULUCF|NOx|Non-fatal heart attacks", US_national_yearly!$D:$AM, 10, FALSE), 1)</f>
        <v>3.9637077512756858E-4</v>
      </c>
      <c r="T13" s="7">
        <f>$B13 * IFERROR(VLOOKUP("LULUCF|NOx|Non-fatal heart attacks", US_national_yearly!$D:$AM, 28, FALSE) / VLOOKUP("LULUCF|NOx|Non-fatal heart attacks", US_national_yearly!$D:$AM, 10, FALSE), 1)</f>
        <v>3.9806826672384891E-4</v>
      </c>
      <c r="U13" s="7">
        <f>$B13 * IFERROR(VLOOKUP("LULUCF|NOx|Non-fatal heart attacks", US_national_yearly!$D:$AM, 29, FALSE) / VLOOKUP("LULUCF|NOx|Non-fatal heart attacks", US_national_yearly!$D:$AM, 10, FALSE), 1)</f>
        <v>3.9976575832012919E-4</v>
      </c>
      <c r="V13" s="7">
        <f>$B13 * IFERROR(VLOOKUP("LULUCF|NOx|Non-fatal heart attacks", US_national_yearly!$D:$AM, 30, FALSE) / VLOOKUP("LULUCF|NOx|Non-fatal heart attacks", US_national_yearly!$D:$AM, 10, FALSE), 1)</f>
        <v>4.0146324991640947E-4</v>
      </c>
      <c r="W13" s="7">
        <f>$B13 * IFERROR(VLOOKUP("LULUCF|NOx|Non-fatal heart attacks", US_national_yearly!$D:$AM, 31, FALSE) / VLOOKUP("LULUCF|NOx|Non-fatal heart attacks", US_national_yearly!$D:$AM, 10, FALSE), 1)</f>
        <v>4.031607415126898E-4</v>
      </c>
      <c r="X13" s="7">
        <f>$B13 * IFERROR(VLOOKUP("LULUCF|NOx|Non-fatal heart attacks", US_national_yearly!$D:$AM, 32, FALSE) / VLOOKUP("LULUCF|NOx|Non-fatal heart attacks", US_national_yearly!$D:$AM, 10, FALSE), 1)</f>
        <v>4.0429509471629442E-4</v>
      </c>
      <c r="Y13" s="7">
        <f>$B13 * IFERROR(VLOOKUP("LULUCF|NOx|Non-fatal heart attacks", US_national_yearly!$D:$AM, 33, FALSE) / VLOOKUP("LULUCF|NOx|Non-fatal heart attacks", US_national_yearly!$D:$AM, 10, FALSE), 1)</f>
        <v>4.0542944791989915E-4</v>
      </c>
      <c r="Z13" s="7">
        <f>$B13 * IFERROR(VLOOKUP("LULUCF|NOx|Non-fatal heart attacks", US_national_yearly!$D:$AM, 34, FALSE) / VLOOKUP("LULUCF|NOx|Non-fatal heart attacks", US_national_yearly!$D:$AM, 10, FALSE), 1)</f>
        <v>4.0656380112350372E-4</v>
      </c>
      <c r="AA13" s="7">
        <f>$B13 * IFERROR(VLOOKUP("LULUCF|NOx|Non-fatal heart attacks", US_national_yearly!$D:$AM, 35, FALSE) / VLOOKUP("LULUCF|NOx|Non-fatal heart attacks", US_national_yearly!$D:$AM, 10, FALSE), 1)</f>
        <v>4.0769815432710834E-4</v>
      </c>
      <c r="AB13" s="7">
        <f>$B13 * IFERROR(VLOOKUP("LULUCF|NOx|Non-fatal heart attacks", US_national_yearly!$D:$AM, 36, FALSE) / VLOOKUP("LULUCF|NOx|Non-fatal heart attacks", US_national_yearly!$D:$AM, 10, FALSE), 1)</f>
        <v>4.0883250753071307E-4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0.22703624372934478</v>
      </c>
      <c r="C14" s="7">
        <f>$B14 * IFERROR(VLOOKUP("LULUCF|NOx|Minor restricted activity days", US_national_yearly!$D:$AM, 11, FALSE) / VLOOKUP("LULUCF|NOx|Minor restricted activity days", US_national_yearly!$D:$AM, 10, FALSE), 1)</f>
        <v>0.22738432839189152</v>
      </c>
      <c r="D14" s="7">
        <f>$B14 * IFERROR(VLOOKUP("LULUCF|NOx|Minor restricted activity days", US_national_yearly!$D:$AM, 12, FALSE) / VLOOKUP("LULUCF|NOx|Minor restricted activity days", US_national_yearly!$D:$AM, 10, FALSE), 1)</f>
        <v>0.22773241305443828</v>
      </c>
      <c r="E14" s="7">
        <f>$B14 * IFERROR(VLOOKUP("LULUCF|NOx|Minor restricted activity days", US_national_yearly!$D:$AM, 13, FALSE) / VLOOKUP("LULUCF|NOx|Minor restricted activity days", US_national_yearly!$D:$AM, 10, FALSE), 1)</f>
        <v>0.22808049771698508</v>
      </c>
      <c r="F14" s="7">
        <f>$B14 * IFERROR(VLOOKUP("LULUCF|NOx|Minor restricted activity days", US_national_yearly!$D:$AM, 14, FALSE) / VLOOKUP("LULUCF|NOx|Minor restricted activity days", US_national_yearly!$D:$AM, 10, FALSE), 1)</f>
        <v>0.22842858237953179</v>
      </c>
      <c r="G14" s="7">
        <f>$B14 * IFERROR(VLOOKUP("LULUCF|NOx|Minor restricted activity days", US_national_yearly!$D:$AM, 15, FALSE) / VLOOKUP("LULUCF|NOx|Minor restricted activity days", US_national_yearly!$D:$AM, 10, FALSE), 1)</f>
        <v>0.22905714042882225</v>
      </c>
      <c r="H14" s="7">
        <f>$B14 * IFERROR(VLOOKUP("LULUCF|NOx|Minor restricted activity days", US_national_yearly!$D:$AM, 16, FALSE) / VLOOKUP("LULUCF|NOx|Minor restricted activity days", US_national_yearly!$D:$AM, 10, FALSE), 1)</f>
        <v>0.22968569847811263</v>
      </c>
      <c r="I14" s="7">
        <f>$B14 * IFERROR(VLOOKUP("LULUCF|NOx|Minor restricted activity days", US_national_yearly!$D:$AM, 17, FALSE) / VLOOKUP("LULUCF|NOx|Minor restricted activity days", US_national_yearly!$D:$AM, 10, FALSE), 1)</f>
        <v>0.23091513316676751</v>
      </c>
      <c r="J14" s="7">
        <f>$B14 * IFERROR(VLOOKUP("LULUCF|NOx|Minor restricted activity days", US_national_yearly!$D:$AM, 18, FALSE) / VLOOKUP("LULUCF|NOx|Minor restricted activity days", US_national_yearly!$D:$AM, 10, FALSE), 1)</f>
        <v>0.23214456785542231</v>
      </c>
      <c r="K14" s="7">
        <f>$B14 * IFERROR(VLOOKUP("LULUCF|NOx|Minor restricted activity days", US_national_yearly!$D:$AM, 19, FALSE) / VLOOKUP("LULUCF|NOx|Minor restricted activity days", US_national_yearly!$D:$AM, 10, FALSE), 1)</f>
        <v>0.2333740025440772</v>
      </c>
      <c r="L14" s="7">
        <f>$B14 * IFERROR(VLOOKUP("LULUCF|NOx|Minor restricted activity days", US_national_yearly!$D:$AM, 20, FALSE) / VLOOKUP("LULUCF|NOx|Minor restricted activity days", US_national_yearly!$D:$AM, 10, FALSE), 1)</f>
        <v>0.234603437232732</v>
      </c>
      <c r="M14" s="7">
        <f>$B14 * IFERROR(VLOOKUP("LULUCF|NOx|Minor restricted activity days", US_national_yearly!$D:$AM, 21, FALSE) / VLOOKUP("LULUCF|NOx|Minor restricted activity days", US_national_yearly!$D:$AM, 10, FALSE), 1)</f>
        <v>0.23583287192138688</v>
      </c>
      <c r="N14" s="7">
        <f>$B14 * IFERROR(VLOOKUP("LULUCF|NOx|Minor restricted activity days", US_national_yearly!$D:$AM, 22, FALSE) / VLOOKUP("LULUCF|NOx|Minor restricted activity days", US_national_yearly!$D:$AM, 10, FALSE), 1)</f>
        <v>0.23759314362726294</v>
      </c>
      <c r="O14" s="7">
        <f>$B14 * IFERROR(VLOOKUP("LULUCF|NOx|Minor restricted activity days", US_national_yearly!$D:$AM, 23, FALSE) / VLOOKUP("LULUCF|NOx|Minor restricted activity days", US_national_yearly!$D:$AM, 10, FALSE), 1)</f>
        <v>0.239353415333139</v>
      </c>
      <c r="P14" s="7">
        <f>$B14 * IFERROR(VLOOKUP("LULUCF|NOx|Minor restricted activity days", US_national_yearly!$D:$AM, 24, FALSE) / VLOOKUP("LULUCF|NOx|Minor restricted activity days", US_national_yearly!$D:$AM, 10, FALSE), 1)</f>
        <v>0.24111368703901509</v>
      </c>
      <c r="Q14" s="7">
        <f>$B14 * IFERROR(VLOOKUP("LULUCF|NOx|Minor restricted activity days", US_national_yearly!$D:$AM, 25, FALSE) / VLOOKUP("LULUCF|NOx|Minor restricted activity days", US_national_yearly!$D:$AM, 10, FALSE), 1)</f>
        <v>0.24287395874489115</v>
      </c>
      <c r="R14" s="7">
        <f>$B14 * IFERROR(VLOOKUP("LULUCF|NOx|Minor restricted activity days", US_national_yearly!$D:$AM, 26, FALSE) / VLOOKUP("LULUCF|NOx|Minor restricted activity days", US_national_yearly!$D:$AM, 10, FALSE), 1)</f>
        <v>0.24463423045076721</v>
      </c>
      <c r="S14" s="7">
        <f>$B14 * IFERROR(VLOOKUP("LULUCF|NOx|Minor restricted activity days", US_national_yearly!$D:$AM, 27, FALSE) / VLOOKUP("LULUCF|NOx|Minor restricted activity days", US_national_yearly!$D:$AM, 10, FALSE), 1)</f>
        <v>0.24639413206328473</v>
      </c>
      <c r="T14" s="7">
        <f>$B14 * IFERROR(VLOOKUP("LULUCF|NOx|Minor restricted activity days", US_national_yearly!$D:$AM, 28, FALSE) / VLOOKUP("LULUCF|NOx|Minor restricted activity days", US_national_yearly!$D:$AM, 10, FALSE), 1)</f>
        <v>0.24815403367580216</v>
      </c>
      <c r="U14" s="7">
        <f>$B14 * IFERROR(VLOOKUP("LULUCF|NOx|Minor restricted activity days", US_national_yearly!$D:$AM, 29, FALSE) / VLOOKUP("LULUCF|NOx|Minor restricted activity days", US_national_yearly!$D:$AM, 10, FALSE), 1)</f>
        <v>0.24991393528831965</v>
      </c>
      <c r="V14" s="7">
        <f>$B14 * IFERROR(VLOOKUP("LULUCF|NOx|Minor restricted activity days", US_national_yearly!$D:$AM, 30, FALSE) / VLOOKUP("LULUCF|NOx|Minor restricted activity days", US_national_yearly!$D:$AM, 10, FALSE), 1)</f>
        <v>0.25167383690083717</v>
      </c>
      <c r="W14" s="7">
        <f>$B14 * IFERROR(VLOOKUP("LULUCF|NOx|Minor restricted activity days", US_national_yearly!$D:$AM, 31, FALSE) / VLOOKUP("LULUCF|NOx|Minor restricted activity days", US_national_yearly!$D:$AM, 10, FALSE), 1)</f>
        <v>0.2534337385133546</v>
      </c>
      <c r="X14" s="7">
        <f>$B14 * IFERROR(VLOOKUP("LULUCF|NOx|Minor restricted activity days", US_national_yearly!$D:$AM, 32, FALSE) / VLOOKUP("LULUCF|NOx|Minor restricted activity days", US_national_yearly!$D:$AM, 10, FALSE), 1)</f>
        <v>0.25492166828182572</v>
      </c>
      <c r="Y14" s="7">
        <f>$B14 * IFERROR(VLOOKUP("LULUCF|NOx|Minor restricted activity days", US_national_yearly!$D:$AM, 33, FALSE) / VLOOKUP("LULUCF|NOx|Minor restricted activity days", US_national_yearly!$D:$AM, 10, FALSE), 1)</f>
        <v>0.25640959805029684</v>
      </c>
      <c r="Z14" s="7">
        <f>$B14 * IFERROR(VLOOKUP("LULUCF|NOx|Minor restricted activity days", US_national_yearly!$D:$AM, 34, FALSE) / VLOOKUP("LULUCF|NOx|Minor restricted activity days", US_national_yearly!$D:$AM, 10, FALSE), 1)</f>
        <v>0.25789752781876796</v>
      </c>
      <c r="AA14" s="7">
        <f>$B14 * IFERROR(VLOOKUP("LULUCF|NOx|Minor restricted activity days", US_national_yearly!$D:$AM, 35, FALSE) / VLOOKUP("LULUCF|NOx|Minor restricted activity days", US_national_yearly!$D:$AM, 10, FALSE), 1)</f>
        <v>0.25938545758723908</v>
      </c>
      <c r="AB14" s="7">
        <f>$B14 * IFERROR(VLOOKUP("LULUCF|NOx|Minor restricted activity days", US_national_yearly!$D:$AM, 36, FALSE) / VLOOKUP("LULUCF|NOx|Minor restricted activity days", US_national_yearly!$D:$AM, 10, FALSE), 1)</f>
        <v>0.26087338735571014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3.8289877900333114E-2</v>
      </c>
      <c r="C15" s="7">
        <f>$B15 * IFERROR(VLOOKUP("LULUCF|NOx|Work loss days", US_national_yearly!$D:$AM, 11, FALSE) / VLOOKUP("LULUCF|NOx|Work loss days", US_national_yearly!$D:$AM, 10, FALSE), 1)</f>
        <v>3.8375051673857088E-2</v>
      </c>
      <c r="D15" s="7">
        <f>$B15 * IFERROR(VLOOKUP("LULUCF|NOx|Work loss days", US_national_yearly!$D:$AM, 12, FALSE) / VLOOKUP("LULUCF|NOx|Work loss days", US_national_yearly!$D:$AM, 10, FALSE), 1)</f>
        <v>3.8460225447381077E-2</v>
      </c>
      <c r="E15" s="7">
        <f>$B15 * IFERROR(VLOOKUP("LULUCF|NOx|Work loss days", US_national_yearly!$D:$AM, 13, FALSE) / VLOOKUP("LULUCF|NOx|Work loss days", US_national_yearly!$D:$AM, 10, FALSE), 1)</f>
        <v>3.8545399220905059E-2</v>
      </c>
      <c r="F15" s="7">
        <f>$B15 * IFERROR(VLOOKUP("LULUCF|NOx|Work loss days", US_national_yearly!$D:$AM, 14, FALSE) / VLOOKUP("LULUCF|NOx|Work loss days", US_national_yearly!$D:$AM, 10, FALSE), 1)</f>
        <v>3.8630572994429041E-2</v>
      </c>
      <c r="G15" s="7">
        <f>$B15 * IFERROR(VLOOKUP("LULUCF|NOx|Work loss days", US_national_yearly!$D:$AM, 15, FALSE) / VLOOKUP("LULUCF|NOx|Work loss days", US_national_yearly!$D:$AM, 10, FALSE), 1)</f>
        <v>3.8754927430344158E-2</v>
      </c>
      <c r="H15" s="7">
        <f>$B15 * IFERROR(VLOOKUP("LULUCF|NOx|Work loss days", US_national_yearly!$D:$AM, 16, FALSE) / VLOOKUP("LULUCF|NOx|Work loss days", US_national_yearly!$D:$AM, 10, FALSE), 1)</f>
        <v>3.8879281866259288E-2</v>
      </c>
      <c r="I15" s="7">
        <f>$B15 * IFERROR(VLOOKUP("LULUCF|NOx|Work loss days", US_national_yearly!$D:$AM, 17, FALSE) / VLOOKUP("LULUCF|NOx|Work loss days", US_national_yearly!$D:$AM, 10, FALSE), 1)</f>
        <v>3.9080729312901817E-2</v>
      </c>
      <c r="J15" s="7">
        <f>$B15 * IFERROR(VLOOKUP("LULUCF|NOx|Work loss days", US_national_yearly!$D:$AM, 18, FALSE) / VLOOKUP("LULUCF|NOx|Work loss days", US_national_yearly!$D:$AM, 10, FALSE), 1)</f>
        <v>3.9282176759544367E-2</v>
      </c>
      <c r="K15" s="7">
        <f>$B15 * IFERROR(VLOOKUP("LULUCF|NOx|Work loss days", US_national_yearly!$D:$AM, 19, FALSE) / VLOOKUP("LULUCF|NOx|Work loss days", US_national_yearly!$D:$AM, 10, FALSE), 1)</f>
        <v>3.9483624206186903E-2</v>
      </c>
      <c r="L15" s="7">
        <f>$B15 * IFERROR(VLOOKUP("LULUCF|NOx|Work loss days", US_national_yearly!$D:$AM, 20, FALSE) / VLOOKUP("LULUCF|NOx|Work loss days", US_national_yearly!$D:$AM, 10, FALSE), 1)</f>
        <v>3.9685071652829432E-2</v>
      </c>
      <c r="M15" s="7">
        <f>$B15 * IFERROR(VLOOKUP("LULUCF|NOx|Work loss days", US_national_yearly!$D:$AM, 21, FALSE) / VLOOKUP("LULUCF|NOx|Work loss days", US_national_yearly!$D:$AM, 10, FALSE), 1)</f>
        <v>3.9886519099471981E-2</v>
      </c>
      <c r="N15" s="7">
        <f>$B15 * IFERROR(VLOOKUP("LULUCF|NOx|Work loss days", US_national_yearly!$D:$AM, 22, FALSE) / VLOOKUP("LULUCF|NOx|Work loss days", US_national_yearly!$D:$AM, 10, FALSE), 1)</f>
        <v>4.0148690589911301E-2</v>
      </c>
      <c r="O15" s="7">
        <f>$B15 * IFERROR(VLOOKUP("LULUCF|NOx|Work loss days", US_national_yearly!$D:$AM, 23, FALSE) / VLOOKUP("LULUCF|NOx|Work loss days", US_national_yearly!$D:$AM, 10, FALSE), 1)</f>
        <v>4.0410862080350628E-2</v>
      </c>
      <c r="P15" s="7">
        <f>$B15 * IFERROR(VLOOKUP("LULUCF|NOx|Work loss days", US_national_yearly!$D:$AM, 24, FALSE) / VLOOKUP("LULUCF|NOx|Work loss days", US_national_yearly!$D:$AM, 10, FALSE), 1)</f>
        <v>4.0673033570789947E-2</v>
      </c>
      <c r="Q15" s="7">
        <f>$B15 * IFERROR(VLOOKUP("LULUCF|NOx|Work loss days", US_national_yearly!$D:$AM, 25, FALSE) / VLOOKUP("LULUCF|NOx|Work loss days", US_national_yearly!$D:$AM, 10, FALSE), 1)</f>
        <v>4.093520506122926E-2</v>
      </c>
      <c r="R15" s="7">
        <f>$B15 * IFERROR(VLOOKUP("LULUCF|NOx|Work loss days", US_national_yearly!$D:$AM, 26, FALSE) / VLOOKUP("LULUCF|NOx|Work loss days", US_national_yearly!$D:$AM, 10, FALSE), 1)</f>
        <v>4.1197376551668594E-2</v>
      </c>
      <c r="S15" s="7">
        <f>$B15 * IFERROR(VLOOKUP("LULUCF|NOx|Work loss days", US_national_yearly!$D:$AM, 27, FALSE) / VLOOKUP("LULUCF|NOx|Work loss days", US_national_yearly!$D:$AM, 10, FALSE), 1)</f>
        <v>4.1489664241736099E-2</v>
      </c>
      <c r="T15" s="7">
        <f>$B15 * IFERROR(VLOOKUP("LULUCF|NOx|Work loss days", US_national_yearly!$D:$AM, 28, FALSE) / VLOOKUP("LULUCF|NOx|Work loss days", US_national_yearly!$D:$AM, 10, FALSE), 1)</f>
        <v>4.1781951931803604E-2</v>
      </c>
      <c r="U15" s="7">
        <f>$B15 * IFERROR(VLOOKUP("LULUCF|NOx|Work loss days", US_national_yearly!$D:$AM, 29, FALSE) / VLOOKUP("LULUCF|NOx|Work loss days", US_national_yearly!$D:$AM, 10, FALSE), 1)</f>
        <v>4.2074239621871103E-2</v>
      </c>
      <c r="V15" s="7">
        <f>$B15 * IFERROR(VLOOKUP("LULUCF|NOx|Work loss days", US_national_yearly!$D:$AM, 30, FALSE) / VLOOKUP("LULUCF|NOx|Work loss days", US_national_yearly!$D:$AM, 10, FALSE), 1)</f>
        <v>4.2366527311938608E-2</v>
      </c>
      <c r="W15" s="7">
        <f>$B15 * IFERROR(VLOOKUP("LULUCF|NOx|Work loss days", US_national_yearly!$D:$AM, 31, FALSE) / VLOOKUP("LULUCF|NOx|Work loss days", US_national_yearly!$D:$AM, 10, FALSE), 1)</f>
        <v>4.2658815002006113E-2</v>
      </c>
      <c r="X15" s="7">
        <f>$B15 * IFERROR(VLOOKUP("LULUCF|NOx|Work loss days", US_national_yearly!$D:$AM, 32, FALSE) / VLOOKUP("LULUCF|NOx|Work loss days", US_national_yearly!$D:$AM, 10, FALSE), 1)</f>
        <v>4.2912505133157766E-2</v>
      </c>
      <c r="Y15" s="7">
        <f>$B15 * IFERROR(VLOOKUP("LULUCF|NOx|Work loss days", US_national_yearly!$D:$AM, 33, FALSE) / VLOOKUP("LULUCF|NOx|Work loss days", US_national_yearly!$D:$AM, 10, FALSE), 1)</f>
        <v>4.3166195264309412E-2</v>
      </c>
      <c r="Z15" s="7">
        <f>$B15 * IFERROR(VLOOKUP("LULUCF|NOx|Work loss days", US_national_yearly!$D:$AM, 34, FALSE) / VLOOKUP("LULUCF|NOx|Work loss days", US_national_yearly!$D:$AM, 10, FALSE), 1)</f>
        <v>4.3419885395461065E-2</v>
      </c>
      <c r="AA15" s="7">
        <f>$B15 * IFERROR(VLOOKUP("LULUCF|NOx|Work loss days", US_national_yearly!$D:$AM, 35, FALSE) / VLOOKUP("LULUCF|NOx|Work loss days", US_national_yearly!$D:$AM, 10, FALSE), 1)</f>
        <v>4.3673575526612711E-2</v>
      </c>
      <c r="AB15" s="7">
        <f>$B15 * IFERROR(VLOOKUP("LULUCF|NOx|Work loss days", US_national_yearly!$D:$AM, 36, FALSE) / VLOOKUP("LULUCF|NOx|Work loss days", US_national_yearly!$D:$AM, 10, FALSE), 1)</f>
        <v>4.3927265657764357E-2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7.1931753907216657E-5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7.4045442004502809E-5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7.6159130101788935E-5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7.8272818199075073E-5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8.0386506296361212E-5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8.2394160438462589E-5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8.4401814580563979E-5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8.6090096832296194E-5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8.7778379084028408E-5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8.9466661335760623E-5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9.1154943587492838E-5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9.2843225839225066E-5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9.389896467210404E-5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9.4954703504983027E-5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9.6010442337862001E-5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9.7066181170740975E-5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9.8121920003619949E-5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9.860362464196679E-5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9.9085329280313618E-5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9.9567033918660446E-5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1.0004873855700727E-4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1.0053044319535412E-4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1.0079852852710841E-4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1.0106661385886269E-4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1.0133469919061699E-4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1.0160278452237128E-4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1.0187086985412558E-4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8.4184370692287809E-4</v>
      </c>
      <c r="C2" s="7">
        <f>$B2 * IFERROR(VLOOKUP("LULUCF|SO2|Premature mortality", US_national_yearly!$D:$AM, 11, FALSE) / VLOOKUP("LULUCF|SO2|Premature mortality", US_national_yearly!$D:$AM, 10, FALSE), 1)</f>
        <v>8.5250520197937012E-4</v>
      </c>
      <c r="D2" s="7">
        <f>$B2 * IFERROR(VLOOKUP("LULUCF|SO2|Premature mortality", US_national_yearly!$D:$AM, 12, FALSE) / VLOOKUP("LULUCF|SO2|Premature mortality", US_national_yearly!$D:$AM, 10, FALSE), 1)</f>
        <v>8.6316669703586236E-4</v>
      </c>
      <c r="E2" s="7">
        <f>$B2 * IFERROR(VLOOKUP("LULUCF|SO2|Premature mortality", US_national_yearly!$D:$AM, 13, FALSE) / VLOOKUP("LULUCF|SO2|Premature mortality", US_national_yearly!$D:$AM, 10, FALSE), 1)</f>
        <v>8.738281920923545E-4</v>
      </c>
      <c r="F2" s="7">
        <f>$B2 * IFERROR(VLOOKUP("LULUCF|SO2|Premature mortality", US_national_yearly!$D:$AM, 14, FALSE) / VLOOKUP("LULUCF|SO2|Premature mortality", US_national_yearly!$D:$AM, 10, FALSE), 1)</f>
        <v>8.8448968714884653E-4</v>
      </c>
      <c r="G2" s="7">
        <f>$B2 * IFERROR(VLOOKUP("LULUCF|SO2|Premature mortality", US_national_yearly!$D:$AM, 15, FALSE) / VLOOKUP("LULUCF|SO2|Premature mortality", US_national_yearly!$D:$AM, 10, FALSE), 1)</f>
        <v>9.0503378389471657E-4</v>
      </c>
      <c r="H2" s="7">
        <f>$B2 * IFERROR(VLOOKUP("LULUCF|SO2|Premature mortality", US_national_yearly!$D:$AM, 16, FALSE) / VLOOKUP("LULUCF|SO2|Premature mortality", US_national_yearly!$D:$AM, 10, FALSE), 1)</f>
        <v>9.2557788064058641E-4</v>
      </c>
      <c r="I2" s="7">
        <f>$B2 * IFERROR(VLOOKUP("LULUCF|SO2|Premature mortality", US_national_yearly!$D:$AM, 17, FALSE) / VLOOKUP("LULUCF|SO2|Premature mortality", US_national_yearly!$D:$AM, 10, FALSE), 1)</f>
        <v>9.3915467858964041E-4</v>
      </c>
      <c r="J2" s="7">
        <f>$B2 * IFERROR(VLOOKUP("LULUCF|SO2|Premature mortality", US_national_yearly!$D:$AM, 18, FALSE) / VLOOKUP("LULUCF|SO2|Premature mortality", US_national_yearly!$D:$AM, 10, FALSE), 1)</f>
        <v>9.5273147653869442E-4</v>
      </c>
      <c r="K2" s="7">
        <f>$B2 * IFERROR(VLOOKUP("LULUCF|SO2|Premature mortality", US_national_yearly!$D:$AM, 19, FALSE) / VLOOKUP("LULUCF|SO2|Premature mortality", US_national_yearly!$D:$AM, 10, FALSE), 1)</f>
        <v>9.6630827448774821E-4</v>
      </c>
      <c r="L2" s="7">
        <f>$B2 * IFERROR(VLOOKUP("LULUCF|SO2|Premature mortality", US_national_yearly!$D:$AM, 20, FALSE) / VLOOKUP("LULUCF|SO2|Premature mortality", US_national_yearly!$D:$AM, 10, FALSE), 1)</f>
        <v>9.7988507243680222E-4</v>
      </c>
      <c r="M2" s="7">
        <f>$B2 * IFERROR(VLOOKUP("LULUCF|SO2|Premature mortality", US_national_yearly!$D:$AM, 21, FALSE) / VLOOKUP("LULUCF|SO2|Premature mortality", US_national_yearly!$D:$AM, 10, FALSE), 1)</f>
        <v>9.9346187038585622E-4</v>
      </c>
      <c r="N2" s="7">
        <f>$B2 * IFERROR(VLOOKUP("LULUCF|SO2|Premature mortality", US_national_yearly!$D:$AM, 22, FALSE) / VLOOKUP("LULUCF|SO2|Premature mortality", US_national_yearly!$D:$AM, 10, FALSE), 1)</f>
        <v>1.004070043860706E-3</v>
      </c>
      <c r="O2" s="7">
        <f>$B2 * IFERROR(VLOOKUP("LULUCF|SO2|Premature mortality", US_national_yearly!$D:$AM, 23, FALSE) / VLOOKUP("LULUCF|SO2|Premature mortality", US_national_yearly!$D:$AM, 10, FALSE), 1)</f>
        <v>1.0146782173355558E-3</v>
      </c>
      <c r="P2" s="7">
        <f>$B2 * IFERROR(VLOOKUP("LULUCF|SO2|Premature mortality", US_national_yearly!$D:$AM, 24, FALSE) / VLOOKUP("LULUCF|SO2|Premature mortality", US_national_yearly!$D:$AM, 10, FALSE), 1)</f>
        <v>1.0252863908104058E-3</v>
      </c>
      <c r="Q2" s="7">
        <f>$B2 * IFERROR(VLOOKUP("LULUCF|SO2|Premature mortality", US_national_yearly!$D:$AM, 25, FALSE) / VLOOKUP("LULUCF|SO2|Premature mortality", US_national_yearly!$D:$AM, 10, FALSE), 1)</f>
        <v>1.0358945642852556E-3</v>
      </c>
      <c r="R2" s="7">
        <f>$B2 * IFERROR(VLOOKUP("LULUCF|SO2|Premature mortality", US_national_yearly!$D:$AM, 26, FALSE) / VLOOKUP("LULUCF|SO2|Premature mortality", US_national_yearly!$D:$AM, 10, FALSE), 1)</f>
        <v>1.0465027377601051E-3</v>
      </c>
      <c r="S2" s="7">
        <f>$B2 * IFERROR(VLOOKUP("LULUCF|SO2|Premature mortality", US_national_yearly!$D:$AM, 27, FALSE) / VLOOKUP("LULUCF|SO2|Premature mortality", US_national_yearly!$D:$AM, 10, FALSE), 1)</f>
        <v>1.0521835559058309E-3</v>
      </c>
      <c r="T2" s="7">
        <f>$B2 * IFERROR(VLOOKUP("LULUCF|SO2|Premature mortality", US_national_yearly!$D:$AM, 28, FALSE) / VLOOKUP("LULUCF|SO2|Premature mortality", US_national_yearly!$D:$AM, 10, FALSE), 1)</f>
        <v>1.0578643740515562E-3</v>
      </c>
      <c r="U2" s="7">
        <f>$B2 * IFERROR(VLOOKUP("LULUCF|SO2|Premature mortality", US_national_yearly!$D:$AM, 29, FALSE) / VLOOKUP("LULUCF|SO2|Premature mortality", US_national_yearly!$D:$AM, 10, FALSE), 1)</f>
        <v>1.0635451921972817E-3</v>
      </c>
      <c r="V2" s="7">
        <f>$B2 * IFERROR(VLOOKUP("LULUCF|SO2|Premature mortality", US_national_yearly!$D:$AM, 30, FALSE) / VLOOKUP("LULUCF|SO2|Premature mortality", US_national_yearly!$D:$AM, 10, FALSE), 1)</f>
        <v>1.069226010343007E-3</v>
      </c>
      <c r="W2" s="7">
        <f>$B2 * IFERROR(VLOOKUP("LULUCF|SO2|Premature mortality", US_national_yearly!$D:$AM, 31, FALSE) / VLOOKUP("LULUCF|SO2|Premature mortality", US_national_yearly!$D:$AM, 10, FALSE), 1)</f>
        <v>1.0749068284887327E-3</v>
      </c>
      <c r="X2" s="7">
        <f>$B2 * IFERROR(VLOOKUP("LULUCF|SO2|Premature mortality", US_national_yearly!$D:$AM, 32, FALSE) / VLOOKUP("LULUCF|SO2|Premature mortality", US_national_yearly!$D:$AM, 10, FALSE), 1)</f>
        <v>1.0760609040713527E-3</v>
      </c>
      <c r="Y2" s="7">
        <f>$B2 * IFERROR(VLOOKUP("LULUCF|SO2|Premature mortality", US_national_yearly!$D:$AM, 33, FALSE) / VLOOKUP("LULUCF|SO2|Premature mortality", US_national_yearly!$D:$AM, 10, FALSE), 1)</f>
        <v>1.0772149796539729E-3</v>
      </c>
      <c r="Z2" s="7">
        <f>$B2 * IFERROR(VLOOKUP("LULUCF|SO2|Premature mortality", US_national_yearly!$D:$AM, 34, FALSE) / VLOOKUP("LULUCF|SO2|Premature mortality", US_national_yearly!$D:$AM, 10, FALSE), 1)</f>
        <v>1.0783690552365931E-3</v>
      </c>
      <c r="AA2" s="7">
        <f>$B2 * IFERROR(VLOOKUP("LULUCF|SO2|Premature mortality", US_national_yearly!$D:$AM, 35, FALSE) / VLOOKUP("LULUCF|SO2|Premature mortality", US_national_yearly!$D:$AM, 10, FALSE), 1)</f>
        <v>1.0795231308192133E-3</v>
      </c>
      <c r="AB2" s="7">
        <f>$B2 * IFERROR(VLOOKUP("LULUCF|SO2|Premature mortality", US_national_yearly!$D:$AM, 36, FALSE) / VLOOKUP("LULUCF|SO2|Premature mortality", US_national_yearly!$D:$AM, 10, FALSE), 1)</f>
        <v>1.0806772064018335E-3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2.1704854504340351E-6</v>
      </c>
      <c r="C3" s="7">
        <f>$B3 * IFERROR(VLOOKUP("LULUCF|SO2|Infant mortality", US_national_yearly!$D:$AM, 11, FALSE) / VLOOKUP("LULUCF|SO2|Infant mortality", US_national_yearly!$D:$AM, 10, FALSE), 1)</f>
        <v>2.1518405845061688E-6</v>
      </c>
      <c r="D3" s="7">
        <f>$B3 * IFERROR(VLOOKUP("LULUCF|SO2|Infant mortality", US_national_yearly!$D:$AM, 12, FALSE) / VLOOKUP("LULUCF|SO2|Infant mortality", US_national_yearly!$D:$AM, 10, FALSE), 1)</f>
        <v>2.133195718578303E-6</v>
      </c>
      <c r="E3" s="7">
        <f>$B3 * IFERROR(VLOOKUP("LULUCF|SO2|Infant mortality", US_national_yearly!$D:$AM, 13, FALSE) / VLOOKUP("LULUCF|SO2|Infant mortality", US_national_yearly!$D:$AM, 10, FALSE), 1)</f>
        <v>2.1145508526504362E-6</v>
      </c>
      <c r="F3" s="7">
        <f>$B3 * IFERROR(VLOOKUP("LULUCF|SO2|Infant mortality", US_national_yearly!$D:$AM, 14, FALSE) / VLOOKUP("LULUCF|SO2|Infant mortality", US_national_yearly!$D:$AM, 10, FALSE), 1)</f>
        <v>2.0959059867225704E-6</v>
      </c>
      <c r="G3" s="7">
        <f>$B3 * IFERROR(VLOOKUP("LULUCF|SO2|Infant mortality", US_national_yearly!$D:$AM, 15, FALSE) / VLOOKUP("LULUCF|SO2|Infant mortality", US_national_yearly!$D:$AM, 10, FALSE), 1)</f>
        <v>1.3960421947383821E-6</v>
      </c>
      <c r="H3" s="7">
        <f>$B3 * IFERROR(VLOOKUP("LULUCF|SO2|Infant mortality", US_national_yearly!$D:$AM, 16, FALSE) / VLOOKUP("LULUCF|SO2|Infant mortality", US_national_yearly!$D:$AM, 10, FALSE), 1)</f>
        <v>6.9617840275419496E-7</v>
      </c>
      <c r="I3" s="7">
        <f>$B3 * IFERROR(VLOOKUP("LULUCF|SO2|Infant mortality", US_national_yearly!$D:$AM, 17, FALSE) / VLOOKUP("LULUCF|SO2|Infant mortality", US_national_yearly!$D:$AM, 10, FALSE), 1)</f>
        <v>6.9181106540588993E-7</v>
      </c>
      <c r="J3" s="7">
        <f>$B3 * IFERROR(VLOOKUP("LULUCF|SO2|Infant mortality", US_national_yearly!$D:$AM, 18, FALSE) / VLOOKUP("LULUCF|SO2|Infant mortality", US_national_yearly!$D:$AM, 10, FALSE), 1)</f>
        <v>6.8744372805758478E-7</v>
      </c>
      <c r="K3" s="7">
        <f>$B3 * IFERROR(VLOOKUP("LULUCF|SO2|Infant mortality", US_national_yearly!$D:$AM, 19, FALSE) / VLOOKUP("LULUCF|SO2|Infant mortality", US_national_yearly!$D:$AM, 10, FALSE), 1)</f>
        <v>6.8307639070927975E-7</v>
      </c>
      <c r="L3" s="7">
        <f>$B3 * IFERROR(VLOOKUP("LULUCF|SO2|Infant mortality", US_national_yearly!$D:$AM, 20, FALSE) / VLOOKUP("LULUCF|SO2|Infant mortality", US_national_yearly!$D:$AM, 10, FALSE), 1)</f>
        <v>6.7870905336097482E-7</v>
      </c>
      <c r="M3" s="7">
        <f>$B3 * IFERROR(VLOOKUP("LULUCF|SO2|Infant mortality", US_national_yearly!$D:$AM, 21, FALSE) / VLOOKUP("LULUCF|SO2|Infant mortality", US_national_yearly!$D:$AM, 10, FALSE), 1)</f>
        <v>6.7434171601266967E-7</v>
      </c>
      <c r="N3" s="7">
        <f>$B3 * IFERROR(VLOOKUP("LULUCF|SO2|Infant mortality", US_national_yearly!$D:$AM, 22, FALSE) / VLOOKUP("LULUCF|SO2|Infant mortality", US_national_yearly!$D:$AM, 10, FALSE), 1)</f>
        <v>6.7160037105591818E-7</v>
      </c>
      <c r="O3" s="7">
        <f>$B3 * IFERROR(VLOOKUP("LULUCF|SO2|Infant mortality", US_national_yearly!$D:$AM, 23, FALSE) / VLOOKUP("LULUCF|SO2|Infant mortality", US_national_yearly!$D:$AM, 10, FALSE), 1)</f>
        <v>6.6885902609916668E-7</v>
      </c>
      <c r="P3" s="7">
        <f>$B3 * IFERROR(VLOOKUP("LULUCF|SO2|Infant mortality", US_national_yearly!$D:$AM, 24, FALSE) / VLOOKUP("LULUCF|SO2|Infant mortality", US_national_yearly!$D:$AM, 10, FALSE), 1)</f>
        <v>6.6611768114241498E-7</v>
      </c>
      <c r="Q3" s="7">
        <f>$B3 * IFERROR(VLOOKUP("LULUCF|SO2|Infant mortality", US_national_yearly!$D:$AM, 25, FALSE) / VLOOKUP("LULUCF|SO2|Infant mortality", US_national_yearly!$D:$AM, 10, FALSE), 1)</f>
        <v>6.6337633618566348E-7</v>
      </c>
      <c r="R3" s="7">
        <f>$B3 * IFERROR(VLOOKUP("LULUCF|SO2|Infant mortality", US_national_yearly!$D:$AM, 26, FALSE) / VLOOKUP("LULUCF|SO2|Infant mortality", US_national_yearly!$D:$AM, 10, FALSE), 1)</f>
        <v>6.6063499122891177E-7</v>
      </c>
      <c r="S3" s="7">
        <f>$B3 * IFERROR(VLOOKUP("LULUCF|SO2|Infant mortality", US_national_yearly!$D:$AM, 27, FALSE) / VLOOKUP("LULUCF|SO2|Infant mortality", US_national_yearly!$D:$AM, 10, FALSE), 1)</f>
        <v>6.5719306562940061E-7</v>
      </c>
      <c r="T3" s="7">
        <f>$B3 * IFERROR(VLOOKUP("LULUCF|SO2|Infant mortality", US_national_yearly!$D:$AM, 28, FALSE) / VLOOKUP("LULUCF|SO2|Infant mortality", US_national_yearly!$D:$AM, 10, FALSE), 1)</f>
        <v>6.5375114002988935E-7</v>
      </c>
      <c r="U3" s="7">
        <f>$B3 * IFERROR(VLOOKUP("LULUCF|SO2|Infant mortality", US_national_yearly!$D:$AM, 29, FALSE) / VLOOKUP("LULUCF|SO2|Infant mortality", US_national_yearly!$D:$AM, 10, FALSE), 1)</f>
        <v>6.5030921443037788E-7</v>
      </c>
      <c r="V3" s="7">
        <f>$B3 * IFERROR(VLOOKUP("LULUCF|SO2|Infant mortality", US_national_yearly!$D:$AM, 30, FALSE) / VLOOKUP("LULUCF|SO2|Infant mortality", US_national_yearly!$D:$AM, 10, FALSE), 1)</f>
        <v>6.4686728883086672E-7</v>
      </c>
      <c r="W3" s="7">
        <f>$B3 * IFERROR(VLOOKUP("LULUCF|SO2|Infant mortality", US_national_yearly!$D:$AM, 31, FALSE) / VLOOKUP("LULUCF|SO2|Infant mortality", US_national_yearly!$D:$AM, 10, FALSE), 1)</f>
        <v>6.4342536323135535E-7</v>
      </c>
      <c r="X3" s="7">
        <f>$B3 * IFERROR(VLOOKUP("LULUCF|SO2|Infant mortality", US_national_yearly!$D:$AM, 32, FALSE) / VLOOKUP("LULUCF|SO2|Infant mortality", US_national_yearly!$D:$AM, 10, FALSE), 1)</f>
        <v>6.3966227612478378E-7</v>
      </c>
      <c r="Y3" s="7">
        <f>$B3 * IFERROR(VLOOKUP("LULUCF|SO2|Infant mortality", US_national_yearly!$D:$AM, 33, FALSE) / VLOOKUP("LULUCF|SO2|Infant mortality", US_national_yearly!$D:$AM, 10, FALSE), 1)</f>
        <v>6.35899189018212E-7</v>
      </c>
      <c r="Z3" s="7">
        <f>$B3 * IFERROR(VLOOKUP("LULUCF|SO2|Infant mortality", US_national_yearly!$D:$AM, 34, FALSE) / VLOOKUP("LULUCF|SO2|Infant mortality", US_national_yearly!$D:$AM, 10, FALSE), 1)</f>
        <v>6.3213610191164042E-7</v>
      </c>
      <c r="AA3" s="7">
        <f>$B3 * IFERROR(VLOOKUP("LULUCF|SO2|Infant mortality", US_national_yearly!$D:$AM, 35, FALSE) / VLOOKUP("LULUCF|SO2|Infant mortality", US_national_yearly!$D:$AM, 10, FALSE), 1)</f>
        <v>6.2837301480506864E-7</v>
      </c>
      <c r="AB3" s="7">
        <f>$B3 * IFERROR(VLOOKUP("LULUCF|SO2|Infant mortality", US_national_yearly!$D:$AM, 36, FALSE) / VLOOKUP("LULUCF|SO2|Infant mortality", US_national_yearly!$D:$AM, 10, FALSE), 1)</f>
        <v>6.2460992769849707E-7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1.8439421664398262E-3</v>
      </c>
      <c r="C6" s="7">
        <f>$B6 * IFERROR(VLOOKUP("LULUCF|SO2|Asthma symptoms cough", US_national_yearly!$D:$AM, 11, FALSE) / VLOOKUP("LULUCF|SO2|Asthma symptoms cough", US_national_yearly!$D:$AM, 10, FALSE), 1)</f>
        <v>1.8439421664398262E-3</v>
      </c>
      <c r="D6" s="7">
        <f>$B6 * IFERROR(VLOOKUP("LULUCF|SO2|Asthma symptoms cough", US_national_yearly!$D:$AM, 12, FALSE) / VLOOKUP("LULUCF|SO2|Asthma symptoms cough", US_national_yearly!$D:$AM, 10, FALSE), 1)</f>
        <v>1.8439421664398262E-3</v>
      </c>
      <c r="E6" s="7">
        <f>$B6 * IFERROR(VLOOKUP("LULUCF|SO2|Asthma symptoms cough", US_national_yearly!$D:$AM, 13, FALSE) / VLOOKUP("LULUCF|SO2|Asthma symptoms cough", US_national_yearly!$D:$AM, 10, FALSE), 1)</f>
        <v>1.8439421664398262E-3</v>
      </c>
      <c r="F6" s="7">
        <f>$B6 * IFERROR(VLOOKUP("LULUCF|SO2|Asthma symptoms cough", US_national_yearly!$D:$AM, 14, FALSE) / VLOOKUP("LULUCF|SO2|Asthma symptoms cough", US_national_yearly!$D:$AM, 10, FALSE), 1)</f>
        <v>1.8439421664398262E-3</v>
      </c>
      <c r="G6" s="7">
        <f>$B6 * IFERROR(VLOOKUP("LULUCF|SO2|Asthma symptoms cough", US_national_yearly!$D:$AM, 15, FALSE) / VLOOKUP("LULUCF|SO2|Asthma symptoms cough", US_national_yearly!$D:$AM, 10, FALSE), 1)</f>
        <v>1.8439421664398262E-3</v>
      </c>
      <c r="H6" s="7">
        <f>$B6 * IFERROR(VLOOKUP("LULUCF|SO2|Asthma symptoms cough", US_national_yearly!$D:$AM, 16, FALSE) / VLOOKUP("LULUCF|SO2|Asthma symptoms cough", US_national_yearly!$D:$AM, 10, FALSE), 1)</f>
        <v>1.8439421664398262E-3</v>
      </c>
      <c r="I6" s="7">
        <f>$B6 * IFERROR(VLOOKUP("LULUCF|SO2|Asthma symptoms cough", US_national_yearly!$D:$AM, 17, FALSE) / VLOOKUP("LULUCF|SO2|Asthma symptoms cough", US_national_yearly!$D:$AM, 10, FALSE), 1)</f>
        <v>1.8439421664398262E-3</v>
      </c>
      <c r="J6" s="7">
        <f>$B6 * IFERROR(VLOOKUP("LULUCF|SO2|Asthma symptoms cough", US_national_yearly!$D:$AM, 18, FALSE) / VLOOKUP("LULUCF|SO2|Asthma symptoms cough", US_national_yearly!$D:$AM, 10, FALSE), 1)</f>
        <v>1.8439421664398262E-3</v>
      </c>
      <c r="K6" s="7">
        <f>$B6 * IFERROR(VLOOKUP("LULUCF|SO2|Asthma symptoms cough", US_national_yearly!$D:$AM, 19, FALSE) / VLOOKUP("LULUCF|SO2|Asthma symptoms cough", US_national_yearly!$D:$AM, 10, FALSE), 1)</f>
        <v>1.8439421664398262E-3</v>
      </c>
      <c r="L6" s="7">
        <f>$B6 * IFERROR(VLOOKUP("LULUCF|SO2|Asthma symptoms cough", US_national_yearly!$D:$AM, 20, FALSE) / VLOOKUP("LULUCF|SO2|Asthma symptoms cough", US_national_yearly!$D:$AM, 10, FALSE), 1)</f>
        <v>1.8439421664398262E-3</v>
      </c>
      <c r="M6" s="7">
        <f>$B6 * IFERROR(VLOOKUP("LULUCF|SO2|Asthma symptoms cough", US_national_yearly!$D:$AM, 21, FALSE) / VLOOKUP("LULUCF|SO2|Asthma symptoms cough", US_national_yearly!$D:$AM, 10, FALSE), 1)</f>
        <v>1.8439421664398262E-3</v>
      </c>
      <c r="N6" s="7">
        <f>$B6 * IFERROR(VLOOKUP("LULUCF|SO2|Asthma symptoms cough", US_national_yearly!$D:$AM, 22, FALSE) / VLOOKUP("LULUCF|SO2|Asthma symptoms cough", US_national_yearly!$D:$AM, 10, FALSE), 1)</f>
        <v>1.8439421664398262E-3</v>
      </c>
      <c r="O6" s="7">
        <f>$B6 * IFERROR(VLOOKUP("LULUCF|SO2|Asthma symptoms cough", US_national_yearly!$D:$AM, 23, FALSE) / VLOOKUP("LULUCF|SO2|Asthma symptoms cough", US_national_yearly!$D:$AM, 10, FALSE), 1)</f>
        <v>1.8439421664398262E-3</v>
      </c>
      <c r="P6" s="7">
        <f>$B6 * IFERROR(VLOOKUP("LULUCF|SO2|Asthma symptoms cough", US_national_yearly!$D:$AM, 24, FALSE) / VLOOKUP("LULUCF|SO2|Asthma symptoms cough", US_national_yearly!$D:$AM, 10, FALSE), 1)</f>
        <v>1.8439421664398262E-3</v>
      </c>
      <c r="Q6" s="7">
        <f>$B6 * IFERROR(VLOOKUP("LULUCF|SO2|Asthma symptoms cough", US_national_yearly!$D:$AM, 25, FALSE) / VLOOKUP("LULUCF|SO2|Asthma symptoms cough", US_national_yearly!$D:$AM, 10, FALSE), 1)</f>
        <v>1.8439421664398262E-3</v>
      </c>
      <c r="R6" s="7">
        <f>$B6 * IFERROR(VLOOKUP("LULUCF|SO2|Asthma symptoms cough", US_national_yearly!$D:$AM, 26, FALSE) / VLOOKUP("LULUCF|SO2|Asthma symptoms cough", US_national_yearly!$D:$AM, 10, FALSE), 1)</f>
        <v>1.8439421664398262E-3</v>
      </c>
      <c r="S6" s="7">
        <f>$B6 * IFERROR(VLOOKUP("LULUCF|SO2|Asthma symptoms cough", US_national_yearly!$D:$AM, 27, FALSE) / VLOOKUP("LULUCF|SO2|Asthma symptoms cough", US_national_yearly!$D:$AM, 10, FALSE), 1)</f>
        <v>1.8439421664398262E-3</v>
      </c>
      <c r="T6" s="7">
        <f>$B6 * IFERROR(VLOOKUP("LULUCF|SO2|Asthma symptoms cough", US_national_yearly!$D:$AM, 28, FALSE) / VLOOKUP("LULUCF|SO2|Asthma symptoms cough", US_national_yearly!$D:$AM, 10, FALSE), 1)</f>
        <v>1.8439421664398262E-3</v>
      </c>
      <c r="U6" s="7">
        <f>$B6 * IFERROR(VLOOKUP("LULUCF|SO2|Asthma symptoms cough", US_national_yearly!$D:$AM, 29, FALSE) / VLOOKUP("LULUCF|SO2|Asthma symptoms cough", US_national_yearly!$D:$AM, 10, FALSE), 1)</f>
        <v>1.8439421664398262E-3</v>
      </c>
      <c r="V6" s="7">
        <f>$B6 * IFERROR(VLOOKUP("LULUCF|SO2|Asthma symptoms cough", US_national_yearly!$D:$AM, 30, FALSE) / VLOOKUP("LULUCF|SO2|Asthma symptoms cough", US_national_yearly!$D:$AM, 10, FALSE), 1)</f>
        <v>1.8439421664398262E-3</v>
      </c>
      <c r="W6" s="7">
        <f>$B6 * IFERROR(VLOOKUP("LULUCF|SO2|Asthma symptoms cough", US_national_yearly!$D:$AM, 31, FALSE) / VLOOKUP("LULUCF|SO2|Asthma symptoms cough", US_national_yearly!$D:$AM, 10, FALSE), 1)</f>
        <v>1.8439421664398262E-3</v>
      </c>
      <c r="X6" s="7">
        <f>$B6 * IFERROR(VLOOKUP("LULUCF|SO2|Asthma symptoms cough", US_national_yearly!$D:$AM, 32, FALSE) / VLOOKUP("LULUCF|SO2|Asthma symptoms cough", US_national_yearly!$D:$AM, 10, FALSE), 1)</f>
        <v>1.8439421664398262E-3</v>
      </c>
      <c r="Y6" s="7">
        <f>$B6 * IFERROR(VLOOKUP("LULUCF|SO2|Asthma symptoms cough", US_national_yearly!$D:$AM, 33, FALSE) / VLOOKUP("LULUCF|SO2|Asthma symptoms cough", US_national_yearly!$D:$AM, 10, FALSE), 1)</f>
        <v>1.8439421664398262E-3</v>
      </c>
      <c r="Z6" s="7">
        <f>$B6 * IFERROR(VLOOKUP("LULUCF|SO2|Asthma symptoms cough", US_national_yearly!$D:$AM, 34, FALSE) / VLOOKUP("LULUCF|SO2|Asthma symptoms cough", US_national_yearly!$D:$AM, 10, FALSE), 1)</f>
        <v>1.8439421664398262E-3</v>
      </c>
      <c r="AA6" s="7">
        <f>$B6 * IFERROR(VLOOKUP("LULUCF|SO2|Asthma symptoms cough", US_national_yearly!$D:$AM, 35, FALSE) / VLOOKUP("LULUCF|SO2|Asthma symptoms cough", US_national_yearly!$D:$AM, 10, FALSE), 1)</f>
        <v>1.8439421664398262E-3</v>
      </c>
      <c r="AB6" s="7">
        <f>$B6 * IFERROR(VLOOKUP("LULUCF|SO2|Asthma symptoms cough", US_national_yearly!$D:$AM, 36, FALSE) / VLOOKUP("LULUCF|SO2|Asthma symptoms cough", US_national_yearly!$D:$AM, 10, FALSE), 1)</f>
        <v>1.8439421664398262E-3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2.4830883591267618E-3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2.4830883591267618E-3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2.4830883591267618E-3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2.4830883591267618E-3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2.4830883591267618E-3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2.4830883591267618E-3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2.4830883591267618E-3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2.4830883591267618E-3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2.4830883591267618E-3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2.4830883591267618E-3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2.4830883591267618E-3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2.4830883591267618E-3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2.4830883591267618E-3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2.4830883591267618E-3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2.4830883591267618E-3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2.4830883591267618E-3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2.4830883591267618E-3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2.4830883591267618E-3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2.4830883591267618E-3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2.4830883591267618E-3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2.4830883591267618E-3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2.4830883591267618E-3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2.4830883591267618E-3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2.4830883591267618E-3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2.4830883591267618E-3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2.4830883591267618E-3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2.4830883591267618E-3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3.7939069720154136E-3</v>
      </c>
      <c r="C8" s="7">
        <f>$B8 * IFERROR(VLOOKUP("LULUCF|SO2|Asthma symptoms wheeze", US_national_yearly!$D:$AM, 11, FALSE) / VLOOKUP("LULUCF|SO2|Asthma symptoms wheeze", US_national_yearly!$D:$AM, 10, FALSE), 1)</f>
        <v>3.7939069720154136E-3</v>
      </c>
      <c r="D8" s="7">
        <f>$B8 * IFERROR(VLOOKUP("LULUCF|SO2|Asthma symptoms wheeze", US_national_yearly!$D:$AM, 12, FALSE) / VLOOKUP("LULUCF|SO2|Asthma symptoms wheeze", US_national_yearly!$D:$AM, 10, FALSE), 1)</f>
        <v>3.7939069720154136E-3</v>
      </c>
      <c r="E8" s="7">
        <f>$B8 * IFERROR(VLOOKUP("LULUCF|SO2|Asthma symptoms wheeze", US_national_yearly!$D:$AM, 13, FALSE) / VLOOKUP("LULUCF|SO2|Asthma symptoms wheeze", US_national_yearly!$D:$AM, 10, FALSE), 1)</f>
        <v>3.7939069720154136E-3</v>
      </c>
      <c r="F8" s="7">
        <f>$B8 * IFERROR(VLOOKUP("LULUCF|SO2|Asthma symptoms wheeze", US_national_yearly!$D:$AM, 14, FALSE) / VLOOKUP("LULUCF|SO2|Asthma symptoms wheeze", US_national_yearly!$D:$AM, 10, FALSE), 1)</f>
        <v>3.7939069720154136E-3</v>
      </c>
      <c r="G8" s="7">
        <f>$B8 * IFERROR(VLOOKUP("LULUCF|SO2|Asthma symptoms wheeze", US_national_yearly!$D:$AM, 15, FALSE) / VLOOKUP("LULUCF|SO2|Asthma symptoms wheeze", US_national_yearly!$D:$AM, 10, FALSE), 1)</f>
        <v>3.7939069720154136E-3</v>
      </c>
      <c r="H8" s="7">
        <f>$B8 * IFERROR(VLOOKUP("LULUCF|SO2|Asthma symptoms wheeze", US_national_yearly!$D:$AM, 16, FALSE) / VLOOKUP("LULUCF|SO2|Asthma symptoms wheeze", US_national_yearly!$D:$AM, 10, FALSE), 1)</f>
        <v>3.7939069720154136E-3</v>
      </c>
      <c r="I8" s="7">
        <f>$B8 * IFERROR(VLOOKUP("LULUCF|SO2|Asthma symptoms wheeze", US_national_yearly!$D:$AM, 17, FALSE) / VLOOKUP("LULUCF|SO2|Asthma symptoms wheeze", US_national_yearly!$D:$AM, 10, FALSE), 1)</f>
        <v>3.7939069720154136E-3</v>
      </c>
      <c r="J8" s="7">
        <f>$B8 * IFERROR(VLOOKUP("LULUCF|SO2|Asthma symptoms wheeze", US_national_yearly!$D:$AM, 18, FALSE) / VLOOKUP("LULUCF|SO2|Asthma symptoms wheeze", US_national_yearly!$D:$AM, 10, FALSE), 1)</f>
        <v>3.7939069720154136E-3</v>
      </c>
      <c r="K8" s="7">
        <f>$B8 * IFERROR(VLOOKUP("LULUCF|SO2|Asthma symptoms wheeze", US_national_yearly!$D:$AM, 19, FALSE) / VLOOKUP("LULUCF|SO2|Asthma symptoms wheeze", US_national_yearly!$D:$AM, 10, FALSE), 1)</f>
        <v>3.7939069720154136E-3</v>
      </c>
      <c r="L8" s="7">
        <f>$B8 * IFERROR(VLOOKUP("LULUCF|SO2|Asthma symptoms wheeze", US_national_yearly!$D:$AM, 20, FALSE) / VLOOKUP("LULUCF|SO2|Asthma symptoms wheeze", US_national_yearly!$D:$AM, 10, FALSE), 1)</f>
        <v>3.7939069720154136E-3</v>
      </c>
      <c r="M8" s="7">
        <f>$B8 * IFERROR(VLOOKUP("LULUCF|SO2|Asthma symptoms wheeze", US_national_yearly!$D:$AM, 21, FALSE) / VLOOKUP("LULUCF|SO2|Asthma symptoms wheeze", US_national_yearly!$D:$AM, 10, FALSE), 1)</f>
        <v>3.7939069720154136E-3</v>
      </c>
      <c r="N8" s="7">
        <f>$B8 * IFERROR(VLOOKUP("LULUCF|SO2|Asthma symptoms wheeze", US_national_yearly!$D:$AM, 22, FALSE) / VLOOKUP("LULUCF|SO2|Asthma symptoms wheeze", US_national_yearly!$D:$AM, 10, FALSE), 1)</f>
        <v>3.7939069720154136E-3</v>
      </c>
      <c r="O8" s="7">
        <f>$B8 * IFERROR(VLOOKUP("LULUCF|SO2|Asthma symptoms wheeze", US_national_yearly!$D:$AM, 23, FALSE) / VLOOKUP("LULUCF|SO2|Asthma symptoms wheeze", US_national_yearly!$D:$AM, 10, FALSE), 1)</f>
        <v>3.7939069720154136E-3</v>
      </c>
      <c r="P8" s="7">
        <f>$B8 * IFERROR(VLOOKUP("LULUCF|SO2|Asthma symptoms wheeze", US_national_yearly!$D:$AM, 24, FALSE) / VLOOKUP("LULUCF|SO2|Asthma symptoms wheeze", US_national_yearly!$D:$AM, 10, FALSE), 1)</f>
        <v>3.7939069720154136E-3</v>
      </c>
      <c r="Q8" s="7">
        <f>$B8 * IFERROR(VLOOKUP("LULUCF|SO2|Asthma symptoms wheeze", US_national_yearly!$D:$AM, 25, FALSE) / VLOOKUP("LULUCF|SO2|Asthma symptoms wheeze", US_national_yearly!$D:$AM, 10, FALSE), 1)</f>
        <v>3.7939069720154136E-3</v>
      </c>
      <c r="R8" s="7">
        <f>$B8 * IFERROR(VLOOKUP("LULUCF|SO2|Asthma symptoms wheeze", US_national_yearly!$D:$AM, 26, FALSE) / VLOOKUP("LULUCF|SO2|Asthma symptoms wheeze", US_national_yearly!$D:$AM, 10, FALSE), 1)</f>
        <v>3.7939069720154136E-3</v>
      </c>
      <c r="S8" s="7">
        <f>$B8 * IFERROR(VLOOKUP("LULUCF|SO2|Asthma symptoms wheeze", US_national_yearly!$D:$AM, 27, FALSE) / VLOOKUP("LULUCF|SO2|Asthma symptoms wheeze", US_national_yearly!$D:$AM, 10, FALSE), 1)</f>
        <v>3.7939069720154136E-3</v>
      </c>
      <c r="T8" s="7">
        <f>$B8 * IFERROR(VLOOKUP("LULUCF|SO2|Asthma symptoms wheeze", US_national_yearly!$D:$AM, 28, FALSE) / VLOOKUP("LULUCF|SO2|Asthma symptoms wheeze", US_national_yearly!$D:$AM, 10, FALSE), 1)</f>
        <v>3.7939069720154136E-3</v>
      </c>
      <c r="U8" s="7">
        <f>$B8 * IFERROR(VLOOKUP("LULUCF|SO2|Asthma symptoms wheeze", US_national_yearly!$D:$AM, 29, FALSE) / VLOOKUP("LULUCF|SO2|Asthma symptoms wheeze", US_national_yearly!$D:$AM, 10, FALSE), 1)</f>
        <v>3.7939069720154136E-3</v>
      </c>
      <c r="V8" s="7">
        <f>$B8 * IFERROR(VLOOKUP("LULUCF|SO2|Asthma symptoms wheeze", US_national_yearly!$D:$AM, 30, FALSE) / VLOOKUP("LULUCF|SO2|Asthma symptoms wheeze", US_national_yearly!$D:$AM, 10, FALSE), 1)</f>
        <v>3.7939069720154136E-3</v>
      </c>
      <c r="W8" s="7">
        <f>$B8 * IFERROR(VLOOKUP("LULUCF|SO2|Asthma symptoms wheeze", US_national_yearly!$D:$AM, 31, FALSE) / VLOOKUP("LULUCF|SO2|Asthma symptoms wheeze", US_national_yearly!$D:$AM, 10, FALSE), 1)</f>
        <v>3.7939069720154136E-3</v>
      </c>
      <c r="X8" s="7">
        <f>$B8 * IFERROR(VLOOKUP("LULUCF|SO2|Asthma symptoms wheeze", US_national_yearly!$D:$AM, 32, FALSE) / VLOOKUP("LULUCF|SO2|Asthma symptoms wheeze", US_national_yearly!$D:$AM, 10, FALSE), 1)</f>
        <v>3.7939069720154136E-3</v>
      </c>
      <c r="Y8" s="7">
        <f>$B8 * IFERROR(VLOOKUP("LULUCF|SO2|Asthma symptoms wheeze", US_national_yearly!$D:$AM, 33, FALSE) / VLOOKUP("LULUCF|SO2|Asthma symptoms wheeze", US_national_yearly!$D:$AM, 10, FALSE), 1)</f>
        <v>3.7939069720154136E-3</v>
      </c>
      <c r="Z8" s="7">
        <f>$B8 * IFERROR(VLOOKUP("LULUCF|SO2|Asthma symptoms wheeze", US_national_yearly!$D:$AM, 34, FALSE) / VLOOKUP("LULUCF|SO2|Asthma symptoms wheeze", US_national_yearly!$D:$AM, 10, FALSE), 1)</f>
        <v>3.7939069720154136E-3</v>
      </c>
      <c r="AA8" s="7">
        <f>$B8 * IFERROR(VLOOKUP("LULUCF|SO2|Asthma symptoms wheeze", US_national_yearly!$D:$AM, 35, FALSE) / VLOOKUP("LULUCF|SO2|Asthma symptoms wheeze", US_national_yearly!$D:$AM, 10, FALSE), 1)</f>
        <v>3.7939069720154136E-3</v>
      </c>
      <c r="AB8" s="7">
        <f>$B8 * IFERROR(VLOOKUP("LULUCF|SO2|Asthma symptoms wheeze", US_national_yearly!$D:$AM, 36, FALSE) / VLOOKUP("LULUCF|SO2|Asthma symptoms wheeze", US_national_yearly!$D:$AM, 10, FALSE), 1)</f>
        <v>3.7939069720154136E-3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4.9302203958865825E-5</v>
      </c>
      <c r="C12" s="7">
        <f>$B12 * IFERROR(VLOOKUP("LULUCF|SO2|Respiratory hospital admissions", US_national_yearly!$D:$AM, 11, FALSE) / VLOOKUP("LULUCF|SO2|Respiratory hospital admissions", US_national_yearly!$D:$AM, 10, FALSE), 1)</f>
        <v>4.9592990807883285E-5</v>
      </c>
      <c r="D12" s="7">
        <f>$B12 * IFERROR(VLOOKUP("LULUCF|SO2|Respiratory hospital admissions", US_national_yearly!$D:$AM, 12, FALSE) / VLOOKUP("LULUCF|SO2|Respiratory hospital admissions", US_national_yearly!$D:$AM, 10, FALSE), 1)</f>
        <v>4.9883777656900744E-5</v>
      </c>
      <c r="E12" s="7">
        <f>$B12 * IFERROR(VLOOKUP("LULUCF|SO2|Respiratory hospital admissions", US_national_yearly!$D:$AM, 13, FALSE) / VLOOKUP("LULUCF|SO2|Respiratory hospital admissions", US_national_yearly!$D:$AM, 10, FALSE), 1)</f>
        <v>5.0174564505918204E-5</v>
      </c>
      <c r="F12" s="7">
        <f>$B12 * IFERROR(VLOOKUP("LULUCF|SO2|Respiratory hospital admissions", US_national_yearly!$D:$AM, 14, FALSE) / VLOOKUP("LULUCF|SO2|Respiratory hospital admissions", US_national_yearly!$D:$AM, 10, FALSE), 1)</f>
        <v>5.0465351354935671E-5</v>
      </c>
      <c r="G12" s="7">
        <f>$B12 * IFERROR(VLOOKUP("LULUCF|SO2|Respiratory hospital admissions", US_national_yearly!$D:$AM, 15, FALSE) / VLOOKUP("LULUCF|SO2|Respiratory hospital admissions", US_national_yearly!$D:$AM, 10, FALSE), 1)</f>
        <v>5.0782358067671775E-5</v>
      </c>
      <c r="H12" s="7">
        <f>$B12 * IFERROR(VLOOKUP("LULUCF|SO2|Respiratory hospital admissions", US_national_yearly!$D:$AM, 16, FALSE) / VLOOKUP("LULUCF|SO2|Respiratory hospital admissions", US_national_yearly!$D:$AM, 10, FALSE), 1)</f>
        <v>5.1099364780407886E-5</v>
      </c>
      <c r="I12" s="7">
        <f>$B12 * IFERROR(VLOOKUP("LULUCF|SO2|Respiratory hospital admissions", US_national_yearly!$D:$AM, 17, FALSE) / VLOOKUP("LULUCF|SO2|Respiratory hospital admissions", US_national_yearly!$D:$AM, 10, FALSE), 1)</f>
        <v>5.1411971143294301E-5</v>
      </c>
      <c r="J12" s="7">
        <f>$B12 * IFERROR(VLOOKUP("LULUCF|SO2|Respiratory hospital admissions", US_national_yearly!$D:$AM, 18, FALSE) / VLOOKUP("LULUCF|SO2|Respiratory hospital admissions", US_national_yearly!$D:$AM, 10, FALSE), 1)</f>
        <v>5.1724577506180729E-5</v>
      </c>
      <c r="K12" s="7">
        <f>$B12 * IFERROR(VLOOKUP("LULUCF|SO2|Respiratory hospital admissions", US_national_yearly!$D:$AM, 19, FALSE) / VLOOKUP("LULUCF|SO2|Respiratory hospital admissions", US_national_yearly!$D:$AM, 10, FALSE), 1)</f>
        <v>5.2037183869067131E-5</v>
      </c>
      <c r="L12" s="7">
        <f>$B12 * IFERROR(VLOOKUP("LULUCF|SO2|Respiratory hospital admissions", US_national_yearly!$D:$AM, 20, FALSE) / VLOOKUP("LULUCF|SO2|Respiratory hospital admissions", US_national_yearly!$D:$AM, 10, FALSE), 1)</f>
        <v>5.234979023195356E-5</v>
      </c>
      <c r="M12" s="7">
        <f>$B12 * IFERROR(VLOOKUP("LULUCF|SO2|Respiratory hospital admissions", US_national_yearly!$D:$AM, 21, FALSE) / VLOOKUP("LULUCF|SO2|Respiratory hospital admissions", US_national_yearly!$D:$AM, 10, FALSE), 1)</f>
        <v>5.2662396594839968E-5</v>
      </c>
      <c r="N12" s="7">
        <f>$B12 * IFERROR(VLOOKUP("LULUCF|SO2|Respiratory hospital admissions", US_national_yearly!$D:$AM, 22, FALSE) / VLOOKUP("LULUCF|SO2|Respiratory hospital admissions", US_national_yearly!$D:$AM, 10, FALSE), 1)</f>
        <v>5.2890589590027011E-5</v>
      </c>
      <c r="O12" s="7">
        <f>$B12 * IFERROR(VLOOKUP("LULUCF|SO2|Respiratory hospital admissions", US_national_yearly!$D:$AM, 23, FALSE) / VLOOKUP("LULUCF|SO2|Respiratory hospital admissions", US_national_yearly!$D:$AM, 10, FALSE), 1)</f>
        <v>5.3118782585214041E-5</v>
      </c>
      <c r="P12" s="7">
        <f>$B12 * IFERROR(VLOOKUP("LULUCF|SO2|Respiratory hospital admissions", US_national_yearly!$D:$AM, 24, FALSE) / VLOOKUP("LULUCF|SO2|Respiratory hospital admissions", US_national_yearly!$D:$AM, 10, FALSE), 1)</f>
        <v>5.3346975580401071E-5</v>
      </c>
      <c r="Q12" s="7">
        <f>$B12 * IFERROR(VLOOKUP("LULUCF|SO2|Respiratory hospital admissions", US_national_yearly!$D:$AM, 25, FALSE) / VLOOKUP("LULUCF|SO2|Respiratory hospital admissions", US_national_yearly!$D:$AM, 10, FALSE), 1)</f>
        <v>5.3575168575588114E-5</v>
      </c>
      <c r="R12" s="7">
        <f>$B12 * IFERROR(VLOOKUP("LULUCF|SO2|Respiratory hospital admissions", US_national_yearly!$D:$AM, 26, FALSE) / VLOOKUP("LULUCF|SO2|Respiratory hospital admissions", US_national_yearly!$D:$AM, 10, FALSE), 1)</f>
        <v>5.3803361570775151E-5</v>
      </c>
      <c r="S12" s="7">
        <f>$B12 * IFERROR(VLOOKUP("LULUCF|SO2|Respiratory hospital admissions", US_national_yearly!$D:$AM, 27, FALSE) / VLOOKUP("LULUCF|SO2|Respiratory hospital admissions", US_national_yearly!$D:$AM, 10, FALSE), 1)</f>
        <v>5.4021040276566733E-5</v>
      </c>
      <c r="T12" s="7">
        <f>$B12 * IFERROR(VLOOKUP("LULUCF|SO2|Respiratory hospital admissions", US_national_yearly!$D:$AM, 28, FALSE) / VLOOKUP("LULUCF|SO2|Respiratory hospital admissions", US_national_yearly!$D:$AM, 10, FALSE), 1)</f>
        <v>5.4238718982358308E-5</v>
      </c>
      <c r="U12" s="7">
        <f>$B12 * IFERROR(VLOOKUP("LULUCF|SO2|Respiratory hospital admissions", US_national_yearly!$D:$AM, 29, FALSE) / VLOOKUP("LULUCF|SO2|Respiratory hospital admissions", US_national_yearly!$D:$AM, 10, FALSE), 1)</f>
        <v>5.4456397688149889E-5</v>
      </c>
      <c r="V12" s="7">
        <f>$B12 * IFERROR(VLOOKUP("LULUCF|SO2|Respiratory hospital admissions", US_national_yearly!$D:$AM, 30, FALSE) / VLOOKUP("LULUCF|SO2|Respiratory hospital admissions", US_national_yearly!$D:$AM, 10, FALSE), 1)</f>
        <v>5.4674076393941471E-5</v>
      </c>
      <c r="W12" s="7">
        <f>$B12 * IFERROR(VLOOKUP("LULUCF|SO2|Respiratory hospital admissions", US_national_yearly!$D:$AM, 31, FALSE) / VLOOKUP("LULUCF|SO2|Respiratory hospital admissions", US_national_yearly!$D:$AM, 10, FALSE), 1)</f>
        <v>5.489175509973306E-5</v>
      </c>
      <c r="X12" s="7">
        <f>$B12 * IFERROR(VLOOKUP("LULUCF|SO2|Respiratory hospital admissions", US_national_yearly!$D:$AM, 32, FALSE) / VLOOKUP("LULUCF|SO2|Respiratory hospital admissions", US_national_yearly!$D:$AM, 10, FALSE), 1)</f>
        <v>5.5098296452932935E-5</v>
      </c>
      <c r="Y12" s="7">
        <f>$B12 * IFERROR(VLOOKUP("LULUCF|SO2|Respiratory hospital admissions", US_national_yearly!$D:$AM, 33, FALSE) / VLOOKUP("LULUCF|SO2|Respiratory hospital admissions", US_national_yearly!$D:$AM, 10, FALSE), 1)</f>
        <v>5.530483780613281E-5</v>
      </c>
      <c r="Z12" s="7">
        <f>$B12 * IFERROR(VLOOKUP("LULUCF|SO2|Respiratory hospital admissions", US_national_yearly!$D:$AM, 34, FALSE) / VLOOKUP("LULUCF|SO2|Respiratory hospital admissions", US_national_yearly!$D:$AM, 10, FALSE), 1)</f>
        <v>5.5511379159332685E-5</v>
      </c>
      <c r="AA12" s="7">
        <f>$B12 * IFERROR(VLOOKUP("LULUCF|SO2|Respiratory hospital admissions", US_national_yearly!$D:$AM, 35, FALSE) / VLOOKUP("LULUCF|SO2|Respiratory hospital admissions", US_national_yearly!$D:$AM, 10, FALSE), 1)</f>
        <v>5.5717920512532567E-5</v>
      </c>
      <c r="AB12" s="7">
        <f>$B12 * IFERROR(VLOOKUP("LULUCF|SO2|Respiratory hospital admissions", US_national_yearly!$D:$AM, 36, FALSE) / VLOOKUP("LULUCF|SO2|Respiratory hospital admissions", US_national_yearly!$D:$AM, 10, FALSE), 1)</f>
        <v>5.5924461865732449E-5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2.9531152862597349E-4</v>
      </c>
      <c r="C13" s="7">
        <f>$B13 * IFERROR(VLOOKUP("LULUCF|SO2|Non-fatal heart attacks", US_national_yearly!$D:$AM, 11, FALSE) / VLOOKUP("LULUCF|SO2|Non-fatal heart attacks", US_national_yearly!$D:$AM, 10, FALSE), 1)</f>
        <v>3.0398080247614697E-4</v>
      </c>
      <c r="D13" s="7">
        <f>$B13 * IFERROR(VLOOKUP("LULUCF|SO2|Non-fatal heart attacks", US_national_yearly!$D:$AM, 12, FALSE) / VLOOKUP("LULUCF|SO2|Non-fatal heart attacks", US_national_yearly!$D:$AM, 10, FALSE), 1)</f>
        <v>3.1265007632632041E-4</v>
      </c>
      <c r="E13" s="7">
        <f>$B13 * IFERROR(VLOOKUP("LULUCF|SO2|Non-fatal heart attacks", US_national_yearly!$D:$AM, 13, FALSE) / VLOOKUP("LULUCF|SO2|Non-fatal heart attacks", US_national_yearly!$D:$AM, 10, FALSE), 1)</f>
        <v>3.213193501764939E-4</v>
      </c>
      <c r="F13" s="7">
        <f>$B13 * IFERROR(VLOOKUP("LULUCF|SO2|Non-fatal heart attacks", US_national_yearly!$D:$AM, 14, FALSE) / VLOOKUP("LULUCF|SO2|Non-fatal heart attacks", US_national_yearly!$D:$AM, 10, FALSE), 1)</f>
        <v>3.2998862402666728E-4</v>
      </c>
      <c r="G13" s="7">
        <f>$B13 * IFERROR(VLOOKUP("LULUCF|SO2|Non-fatal heart attacks", US_national_yearly!$D:$AM, 15, FALSE) / VLOOKUP("LULUCF|SO2|Non-fatal heart attacks", US_national_yearly!$D:$AM, 10, FALSE), 1)</f>
        <v>3.3816455339165429E-4</v>
      </c>
      <c r="H13" s="7">
        <f>$B13 * IFERROR(VLOOKUP("LULUCF|SO2|Non-fatal heart attacks", US_national_yearly!$D:$AM, 16, FALSE) / VLOOKUP("LULUCF|SO2|Non-fatal heart attacks", US_national_yearly!$D:$AM, 10, FALSE), 1)</f>
        <v>3.463404827566413E-4</v>
      </c>
      <c r="I13" s="7">
        <f>$B13 * IFERROR(VLOOKUP("LULUCF|SO2|Non-fatal heart attacks", US_national_yearly!$D:$AM, 17, FALSE) / VLOOKUP("LULUCF|SO2|Non-fatal heart attacks", US_national_yearly!$D:$AM, 10, FALSE), 1)</f>
        <v>3.5291954286013785E-4</v>
      </c>
      <c r="J13" s="7">
        <f>$B13 * IFERROR(VLOOKUP("LULUCF|SO2|Non-fatal heart attacks", US_national_yearly!$D:$AM, 18, FALSE) / VLOOKUP("LULUCF|SO2|Non-fatal heart attacks", US_national_yearly!$D:$AM, 10, FALSE), 1)</f>
        <v>3.5949860296363446E-4</v>
      </c>
      <c r="K13" s="7">
        <f>$B13 * IFERROR(VLOOKUP("LULUCF|SO2|Non-fatal heart attacks", US_national_yearly!$D:$AM, 19, FALSE) / VLOOKUP("LULUCF|SO2|Non-fatal heart attacks", US_national_yearly!$D:$AM, 10, FALSE), 1)</f>
        <v>3.6607766306713101E-4</v>
      </c>
      <c r="L13" s="7">
        <f>$B13 * IFERROR(VLOOKUP("LULUCF|SO2|Non-fatal heart attacks", US_national_yearly!$D:$AM, 20, FALSE) / VLOOKUP("LULUCF|SO2|Non-fatal heart attacks", US_national_yearly!$D:$AM, 10, FALSE), 1)</f>
        <v>3.7265672317062767E-4</v>
      </c>
      <c r="M13" s="7">
        <f>$B13 * IFERROR(VLOOKUP("LULUCF|SO2|Non-fatal heart attacks", US_national_yearly!$D:$AM, 21, FALSE) / VLOOKUP("LULUCF|SO2|Non-fatal heart attacks", US_national_yearly!$D:$AM, 10, FALSE), 1)</f>
        <v>3.7923578327412428E-4</v>
      </c>
      <c r="N13" s="7">
        <f>$B13 * IFERROR(VLOOKUP("LULUCF|SO2|Non-fatal heart attacks", US_national_yearly!$D:$AM, 22, FALSE) / VLOOKUP("LULUCF|SO2|Non-fatal heart attacks", US_national_yearly!$D:$AM, 10, FALSE), 1)</f>
        <v>3.8350764648491633E-4</v>
      </c>
      <c r="O13" s="7">
        <f>$B13 * IFERROR(VLOOKUP("LULUCF|SO2|Non-fatal heart attacks", US_national_yearly!$D:$AM, 23, FALSE) / VLOOKUP("LULUCF|SO2|Non-fatal heart attacks", US_national_yearly!$D:$AM, 10, FALSE), 1)</f>
        <v>3.8777950969570853E-4</v>
      </c>
      <c r="P13" s="7">
        <f>$B13 * IFERROR(VLOOKUP("LULUCF|SO2|Non-fatal heart attacks", US_national_yearly!$D:$AM, 24, FALSE) / VLOOKUP("LULUCF|SO2|Non-fatal heart attacks", US_national_yearly!$D:$AM, 10, FALSE), 1)</f>
        <v>3.9205137290650074E-4</v>
      </c>
      <c r="Q13" s="7">
        <f>$B13 * IFERROR(VLOOKUP("LULUCF|SO2|Non-fatal heart attacks", US_national_yearly!$D:$AM, 25, FALSE) / VLOOKUP("LULUCF|SO2|Non-fatal heart attacks", US_national_yearly!$D:$AM, 10, FALSE), 1)</f>
        <v>3.9632323611729284E-4</v>
      </c>
      <c r="R13" s="7">
        <f>$B13 * IFERROR(VLOOKUP("LULUCF|SO2|Non-fatal heart attacks", US_national_yearly!$D:$AM, 26, FALSE) / VLOOKUP("LULUCF|SO2|Non-fatal heart attacks", US_national_yearly!$D:$AM, 10, FALSE), 1)</f>
        <v>4.0059509932808499E-4</v>
      </c>
      <c r="S13" s="7">
        <f>$B13 * IFERROR(VLOOKUP("LULUCF|SO2|Non-fatal heart attacks", US_national_yearly!$D:$AM, 27, FALSE) / VLOOKUP("LULUCF|SO2|Non-fatal heart attacks", US_national_yearly!$D:$AM, 10, FALSE), 1)</f>
        <v>4.0282541508211022E-4</v>
      </c>
      <c r="T13" s="7">
        <f>$B13 * IFERROR(VLOOKUP("LULUCF|SO2|Non-fatal heart attacks", US_national_yearly!$D:$AM, 28, FALSE) / VLOOKUP("LULUCF|SO2|Non-fatal heart attacks", US_national_yearly!$D:$AM, 10, FALSE), 1)</f>
        <v>4.050557308361354E-4</v>
      </c>
      <c r="U13" s="7">
        <f>$B13 * IFERROR(VLOOKUP("LULUCF|SO2|Non-fatal heart attacks", US_national_yearly!$D:$AM, 29, FALSE) / VLOOKUP("LULUCF|SO2|Non-fatal heart attacks", US_national_yearly!$D:$AM, 10, FALSE), 1)</f>
        <v>4.0728604659016053E-4</v>
      </c>
      <c r="V13" s="7">
        <f>$B13 * IFERROR(VLOOKUP("LULUCF|SO2|Non-fatal heart attacks", US_national_yearly!$D:$AM, 30, FALSE) / VLOOKUP("LULUCF|SO2|Non-fatal heart attacks", US_national_yearly!$D:$AM, 10, FALSE), 1)</f>
        <v>4.095163623441857E-4</v>
      </c>
      <c r="W13" s="7">
        <f>$B13 * IFERROR(VLOOKUP("LULUCF|SO2|Non-fatal heart attacks", US_national_yearly!$D:$AM, 31, FALSE) / VLOOKUP("LULUCF|SO2|Non-fatal heart attacks", US_national_yearly!$D:$AM, 10, FALSE), 1)</f>
        <v>4.1174667809821094E-4</v>
      </c>
      <c r="X13" s="7">
        <f>$B13 * IFERROR(VLOOKUP("LULUCF|SO2|Non-fatal heart attacks", US_national_yearly!$D:$AM, 32, FALSE) / VLOOKUP("LULUCF|SO2|Non-fatal heart attacks", US_national_yearly!$D:$AM, 10, FALSE), 1)</f>
        <v>4.1343037139819161E-4</v>
      </c>
      <c r="Y13" s="7">
        <f>$B13 * IFERROR(VLOOKUP("LULUCF|SO2|Non-fatal heart attacks", US_national_yearly!$D:$AM, 33, FALSE) / VLOOKUP("LULUCF|SO2|Non-fatal heart attacks", US_national_yearly!$D:$AM, 10, FALSE), 1)</f>
        <v>4.1511406469817223E-4</v>
      </c>
      <c r="Z13" s="7">
        <f>$B13 * IFERROR(VLOOKUP("LULUCF|SO2|Non-fatal heart attacks", US_national_yearly!$D:$AM, 34, FALSE) / VLOOKUP("LULUCF|SO2|Non-fatal heart attacks", US_national_yearly!$D:$AM, 10, FALSE), 1)</f>
        <v>4.1679775799815291E-4</v>
      </c>
      <c r="AA13" s="7">
        <f>$B13 * IFERROR(VLOOKUP("LULUCF|SO2|Non-fatal heart attacks", US_national_yearly!$D:$AM, 35, FALSE) / VLOOKUP("LULUCF|SO2|Non-fatal heart attacks", US_national_yearly!$D:$AM, 10, FALSE), 1)</f>
        <v>4.1848145129813353E-4</v>
      </c>
      <c r="AB13" s="7">
        <f>$B13 * IFERROR(VLOOKUP("LULUCF|SO2|Non-fatal heart attacks", US_national_yearly!$D:$AM, 36, FALSE) / VLOOKUP("LULUCF|SO2|Non-fatal heart attacks", US_national_yearly!$D:$AM, 10, FALSE), 1)</f>
        <v>4.201651445981142E-4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0.22703624372934478</v>
      </c>
      <c r="C14" s="7">
        <f>$B14 * IFERROR(VLOOKUP("LULUCF|SO2|Minor restricted activity days", US_national_yearly!$D:$AM, 11, FALSE) / VLOOKUP("LULUCF|SO2|Minor restricted activity days", US_national_yearly!$D:$AM, 10, FALSE), 1)</f>
        <v>0.22760852645305313</v>
      </c>
      <c r="D14" s="7">
        <f>$B14 * IFERROR(VLOOKUP("LULUCF|SO2|Minor restricted activity days", US_national_yearly!$D:$AM, 12, FALSE) / VLOOKUP("LULUCF|SO2|Minor restricted activity days", US_national_yearly!$D:$AM, 10, FALSE), 1)</f>
        <v>0.22818080917676145</v>
      </c>
      <c r="E14" s="7">
        <f>$B14 * IFERROR(VLOOKUP("LULUCF|SO2|Minor restricted activity days", US_national_yearly!$D:$AM, 13, FALSE) / VLOOKUP("LULUCF|SO2|Minor restricted activity days", US_national_yearly!$D:$AM, 10, FALSE), 1)</f>
        <v>0.2287530919004698</v>
      </c>
      <c r="F14" s="7">
        <f>$B14 * IFERROR(VLOOKUP("LULUCF|SO2|Minor restricted activity days", US_national_yearly!$D:$AM, 14, FALSE) / VLOOKUP("LULUCF|SO2|Minor restricted activity days", US_national_yearly!$D:$AM, 10, FALSE), 1)</f>
        <v>0.22932537462417812</v>
      </c>
      <c r="G14" s="7">
        <f>$B14 * IFERROR(VLOOKUP("LULUCF|SO2|Minor restricted activity days", US_national_yearly!$D:$AM, 15, FALSE) / VLOOKUP("LULUCF|SO2|Minor restricted activity days", US_national_yearly!$D:$AM, 10, FALSE), 1)</f>
        <v>0.23016771857210808</v>
      </c>
      <c r="H14" s="7">
        <f>$B14 * IFERROR(VLOOKUP("LULUCF|SO2|Minor restricted activity days", US_national_yearly!$D:$AM, 16, FALSE) / VLOOKUP("LULUCF|SO2|Minor restricted activity days", US_national_yearly!$D:$AM, 10, FALSE), 1)</f>
        <v>0.23101006252003806</v>
      </c>
      <c r="I14" s="7">
        <f>$B14 * IFERROR(VLOOKUP("LULUCF|SO2|Minor restricted activity days", US_national_yearly!$D:$AM, 17, FALSE) / VLOOKUP("LULUCF|SO2|Minor restricted activity days", US_national_yearly!$D:$AM, 10, FALSE), 1)</f>
        <v>0.23244660160757749</v>
      </c>
      <c r="J14" s="7">
        <f>$B14 * IFERROR(VLOOKUP("LULUCF|SO2|Minor restricted activity days", US_national_yearly!$D:$AM, 18, FALSE) / VLOOKUP("LULUCF|SO2|Minor restricted activity days", US_national_yearly!$D:$AM, 10, FALSE), 1)</f>
        <v>0.23388314069511693</v>
      </c>
      <c r="K14" s="7">
        <f>$B14 * IFERROR(VLOOKUP("LULUCF|SO2|Minor restricted activity days", US_national_yearly!$D:$AM, 19, FALSE) / VLOOKUP("LULUCF|SO2|Minor restricted activity days", US_national_yearly!$D:$AM, 10, FALSE), 1)</f>
        <v>0.23531967978265642</v>
      </c>
      <c r="L14" s="7">
        <f>$B14 * IFERROR(VLOOKUP("LULUCF|SO2|Minor restricted activity days", US_national_yearly!$D:$AM, 20, FALSE) / VLOOKUP("LULUCF|SO2|Minor restricted activity days", US_national_yearly!$D:$AM, 10, FALSE), 1)</f>
        <v>0.23675621887019585</v>
      </c>
      <c r="M14" s="7">
        <f>$B14 * IFERROR(VLOOKUP("LULUCF|SO2|Minor restricted activity days", US_national_yearly!$D:$AM, 21, FALSE) / VLOOKUP("LULUCF|SO2|Minor restricted activity days", US_national_yearly!$D:$AM, 10, FALSE), 1)</f>
        <v>0.23819275795773531</v>
      </c>
      <c r="N14" s="7">
        <f>$B14 * IFERROR(VLOOKUP("LULUCF|SO2|Minor restricted activity days", US_national_yearly!$D:$AM, 22, FALSE) / VLOOKUP("LULUCF|SO2|Minor restricted activity days", US_national_yearly!$D:$AM, 10, FALSE), 1)</f>
        <v>0.24015771292389484</v>
      </c>
      <c r="O14" s="7">
        <f>$B14 * IFERROR(VLOOKUP("LULUCF|SO2|Minor restricted activity days", US_national_yearly!$D:$AM, 23, FALSE) / VLOOKUP("LULUCF|SO2|Minor restricted activity days", US_national_yearly!$D:$AM, 10, FALSE), 1)</f>
        <v>0.2421226678900544</v>
      </c>
      <c r="P14" s="7">
        <f>$B14 * IFERROR(VLOOKUP("LULUCF|SO2|Minor restricted activity days", US_national_yearly!$D:$AM, 24, FALSE) / VLOOKUP("LULUCF|SO2|Minor restricted activity days", US_national_yearly!$D:$AM, 10, FALSE), 1)</f>
        <v>0.24408762285621394</v>
      </c>
      <c r="Q14" s="7">
        <f>$B14 * IFERROR(VLOOKUP("LULUCF|SO2|Minor restricted activity days", US_national_yearly!$D:$AM, 25, FALSE) / VLOOKUP("LULUCF|SO2|Minor restricted activity days", US_national_yearly!$D:$AM, 10, FALSE), 1)</f>
        <v>0.2460525778223735</v>
      </c>
      <c r="R14" s="7">
        <f>$B14 * IFERROR(VLOOKUP("LULUCF|SO2|Minor restricted activity days", US_national_yearly!$D:$AM, 26, FALSE) / VLOOKUP("LULUCF|SO2|Minor restricted activity days", US_national_yearly!$D:$AM, 10, FALSE), 1)</f>
        <v>0.24801753278853303</v>
      </c>
      <c r="S14" s="7">
        <f>$B14 * IFERROR(VLOOKUP("LULUCF|SO2|Minor restricted activity days", US_national_yearly!$D:$AM, 27, FALSE) / VLOOKUP("LULUCF|SO2|Minor restricted activity days", US_national_yearly!$D:$AM, 10, FALSE), 1)</f>
        <v>0.25002099669438743</v>
      </c>
      <c r="T14" s="7">
        <f>$B14 * IFERROR(VLOOKUP("LULUCF|SO2|Minor restricted activity days", US_national_yearly!$D:$AM, 28, FALSE) / VLOOKUP("LULUCF|SO2|Minor restricted activity days", US_national_yearly!$D:$AM, 10, FALSE), 1)</f>
        <v>0.25202446060024186</v>
      </c>
      <c r="U14" s="7">
        <f>$B14 * IFERROR(VLOOKUP("LULUCF|SO2|Minor restricted activity days", US_national_yearly!$D:$AM, 29, FALSE) / VLOOKUP("LULUCF|SO2|Minor restricted activity days", US_national_yearly!$D:$AM, 10, FALSE), 1)</f>
        <v>0.25402792450609624</v>
      </c>
      <c r="V14" s="7">
        <f>$B14 * IFERROR(VLOOKUP("LULUCF|SO2|Minor restricted activity days", US_national_yearly!$D:$AM, 30, FALSE) / VLOOKUP("LULUCF|SO2|Minor restricted activity days", US_national_yearly!$D:$AM, 10, FALSE), 1)</f>
        <v>0.25603138841195067</v>
      </c>
      <c r="W14" s="7">
        <f>$B14 * IFERROR(VLOOKUP("LULUCF|SO2|Minor restricted activity days", US_national_yearly!$D:$AM, 31, FALSE) / VLOOKUP("LULUCF|SO2|Minor restricted activity days", US_national_yearly!$D:$AM, 10, FALSE), 1)</f>
        <v>0.2580348523178051</v>
      </c>
      <c r="X14" s="7">
        <f>$B14 * IFERROR(VLOOKUP("LULUCF|SO2|Minor restricted activity days", US_national_yearly!$D:$AM, 32, FALSE) / VLOOKUP("LULUCF|SO2|Minor restricted activity days", US_national_yearly!$D:$AM, 10, FALSE), 1)</f>
        <v>0.25979673916933671</v>
      </c>
      <c r="Y14" s="7">
        <f>$B14 * IFERROR(VLOOKUP("LULUCF|SO2|Minor restricted activity days", US_national_yearly!$D:$AM, 33, FALSE) / VLOOKUP("LULUCF|SO2|Minor restricted activity days", US_national_yearly!$D:$AM, 10, FALSE), 1)</f>
        <v>0.26155862602086827</v>
      </c>
      <c r="Z14" s="7">
        <f>$B14 * IFERROR(VLOOKUP("LULUCF|SO2|Minor restricted activity days", US_national_yearly!$D:$AM, 34, FALSE) / VLOOKUP("LULUCF|SO2|Minor restricted activity days", US_national_yearly!$D:$AM, 10, FALSE), 1)</f>
        <v>0.26332051287239988</v>
      </c>
      <c r="AA14" s="7">
        <f>$B14 * IFERROR(VLOOKUP("LULUCF|SO2|Minor restricted activity days", US_national_yearly!$D:$AM, 35, FALSE) / VLOOKUP("LULUCF|SO2|Minor restricted activity days", US_national_yearly!$D:$AM, 10, FALSE), 1)</f>
        <v>0.26508239972393144</v>
      </c>
      <c r="AB14" s="7">
        <f>$B14 * IFERROR(VLOOKUP("LULUCF|SO2|Minor restricted activity days", US_national_yearly!$D:$AM, 36, FALSE) / VLOOKUP("LULUCF|SO2|Minor restricted activity days", US_national_yearly!$D:$AM, 10, FALSE), 1)</f>
        <v>0.26684428657546311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3.8289877900333114E-2</v>
      </c>
      <c r="C15" s="7">
        <f>$B15 * IFERROR(VLOOKUP("LULUCF|SO2|Work loss days", US_national_yearly!$D:$AM, 11, FALSE) / VLOOKUP("LULUCF|SO2|Work loss days", US_national_yearly!$D:$AM, 10, FALSE), 1)</f>
        <v>3.8413931019092407E-2</v>
      </c>
      <c r="D15" s="7">
        <f>$B15 * IFERROR(VLOOKUP("LULUCF|SO2|Work loss days", US_national_yearly!$D:$AM, 12, FALSE) / VLOOKUP("LULUCF|SO2|Work loss days", US_national_yearly!$D:$AM, 10, FALSE), 1)</f>
        <v>3.8537984137851693E-2</v>
      </c>
      <c r="E15" s="7">
        <f>$B15 * IFERROR(VLOOKUP("LULUCF|SO2|Work loss days", US_national_yearly!$D:$AM, 13, FALSE) / VLOOKUP("LULUCF|SO2|Work loss days", US_national_yearly!$D:$AM, 10, FALSE), 1)</f>
        <v>3.8662037256610986E-2</v>
      </c>
      <c r="F15" s="7">
        <f>$B15 * IFERROR(VLOOKUP("LULUCF|SO2|Work loss days", US_national_yearly!$D:$AM, 14, FALSE) / VLOOKUP("LULUCF|SO2|Work loss days", US_national_yearly!$D:$AM, 10, FALSE), 1)</f>
        <v>3.8786090375370272E-2</v>
      </c>
      <c r="G15" s="7">
        <f>$B15 * IFERROR(VLOOKUP("LULUCF|SO2|Work loss days", US_national_yearly!$D:$AM, 15, FALSE) / VLOOKUP("LULUCF|SO2|Work loss days", US_national_yearly!$D:$AM, 10, FALSE), 1)</f>
        <v>3.8948180953898535E-2</v>
      </c>
      <c r="H15" s="7">
        <f>$B15 * IFERROR(VLOOKUP("LULUCF|SO2|Work loss days", US_national_yearly!$D:$AM, 16, FALSE) / VLOOKUP("LULUCF|SO2|Work loss days", US_national_yearly!$D:$AM, 10, FALSE), 1)</f>
        <v>3.9110271532426785E-2</v>
      </c>
      <c r="I15" s="7">
        <f>$B15 * IFERROR(VLOOKUP("LULUCF|SO2|Work loss days", US_national_yearly!$D:$AM, 17, FALSE) / VLOOKUP("LULUCF|SO2|Work loss days", US_national_yearly!$D:$AM, 10, FALSE), 1)</f>
        <v>3.9347388289723256E-2</v>
      </c>
      <c r="J15" s="7">
        <f>$B15 * IFERROR(VLOOKUP("LULUCF|SO2|Work loss days", US_national_yearly!$D:$AM, 18, FALSE) / VLOOKUP("LULUCF|SO2|Work loss days", US_national_yearly!$D:$AM, 10, FALSE), 1)</f>
        <v>3.958450504701972E-2</v>
      </c>
      <c r="K15" s="7">
        <f>$B15 * IFERROR(VLOOKUP("LULUCF|SO2|Work loss days", US_national_yearly!$D:$AM, 19, FALSE) / VLOOKUP("LULUCF|SO2|Work loss days", US_national_yearly!$D:$AM, 10, FALSE), 1)</f>
        <v>3.9821621804316192E-2</v>
      </c>
      <c r="L15" s="7">
        <f>$B15 * IFERROR(VLOOKUP("LULUCF|SO2|Work loss days", US_national_yearly!$D:$AM, 20, FALSE) / VLOOKUP("LULUCF|SO2|Work loss days", US_national_yearly!$D:$AM, 10, FALSE), 1)</f>
        <v>4.0058738561612663E-2</v>
      </c>
      <c r="M15" s="7">
        <f>$B15 * IFERROR(VLOOKUP("LULUCF|SO2|Work loss days", US_national_yearly!$D:$AM, 21, FALSE) / VLOOKUP("LULUCF|SO2|Work loss days", US_national_yearly!$D:$AM, 10, FALSE), 1)</f>
        <v>4.0295855318909134E-2</v>
      </c>
      <c r="N15" s="7">
        <f>$B15 * IFERROR(VLOOKUP("LULUCF|SO2|Work loss days", US_national_yearly!$D:$AM, 22, FALSE) / VLOOKUP("LULUCF|SO2|Work loss days", US_national_yearly!$D:$AM, 10, FALSE), 1)</f>
        <v>4.0593161307651296E-2</v>
      </c>
      <c r="O15" s="7">
        <f>$B15 * IFERROR(VLOOKUP("LULUCF|SO2|Work loss days", US_national_yearly!$D:$AM, 23, FALSE) / VLOOKUP("LULUCF|SO2|Work loss days", US_national_yearly!$D:$AM, 10, FALSE), 1)</f>
        <v>4.0890467296393465E-2</v>
      </c>
      <c r="P15" s="7">
        <f>$B15 * IFERROR(VLOOKUP("LULUCF|SO2|Work loss days", US_national_yearly!$D:$AM, 24, FALSE) / VLOOKUP("LULUCF|SO2|Work loss days", US_national_yearly!$D:$AM, 10, FALSE), 1)</f>
        <v>4.118777328513562E-2</v>
      </c>
      <c r="Q15" s="7">
        <f>$B15 * IFERROR(VLOOKUP("LULUCF|SO2|Work loss days", US_national_yearly!$D:$AM, 25, FALSE) / VLOOKUP("LULUCF|SO2|Work loss days", US_national_yearly!$D:$AM, 10, FALSE), 1)</f>
        <v>4.1485079273877783E-2</v>
      </c>
      <c r="R15" s="7">
        <f>$B15 * IFERROR(VLOOKUP("LULUCF|SO2|Work loss days", US_national_yearly!$D:$AM, 26, FALSE) / VLOOKUP("LULUCF|SO2|Work loss days", US_national_yearly!$D:$AM, 10, FALSE), 1)</f>
        <v>4.1782385262619945E-2</v>
      </c>
      <c r="S15" s="7">
        <f>$B15 * IFERROR(VLOOKUP("LULUCF|SO2|Work loss days", US_national_yearly!$D:$AM, 27, FALSE) / VLOOKUP("LULUCF|SO2|Work loss days", US_national_yearly!$D:$AM, 10, FALSE), 1)</f>
        <v>4.2114623724833988E-2</v>
      </c>
      <c r="T15" s="7">
        <f>$B15 * IFERROR(VLOOKUP("LULUCF|SO2|Work loss days", US_national_yearly!$D:$AM, 28, FALSE) / VLOOKUP("LULUCF|SO2|Work loss days", US_national_yearly!$D:$AM, 10, FALSE), 1)</f>
        <v>4.2446862187048039E-2</v>
      </c>
      <c r="U15" s="7">
        <f>$B15 * IFERROR(VLOOKUP("LULUCF|SO2|Work loss days", US_national_yearly!$D:$AM, 29, FALSE) / VLOOKUP("LULUCF|SO2|Work loss days", US_national_yearly!$D:$AM, 10, FALSE), 1)</f>
        <v>4.2779100649262082E-2</v>
      </c>
      <c r="V15" s="7">
        <f>$B15 * IFERROR(VLOOKUP("LULUCF|SO2|Work loss days", US_national_yearly!$D:$AM, 30, FALSE) / VLOOKUP("LULUCF|SO2|Work loss days", US_national_yearly!$D:$AM, 10, FALSE), 1)</f>
        <v>4.3111339111476125E-2</v>
      </c>
      <c r="W15" s="7">
        <f>$B15 * IFERROR(VLOOKUP("LULUCF|SO2|Work loss days", US_national_yearly!$D:$AM, 31, FALSE) / VLOOKUP("LULUCF|SO2|Work loss days", US_national_yearly!$D:$AM, 10, FALSE), 1)</f>
        <v>4.3443577573690176E-2</v>
      </c>
      <c r="X15" s="7">
        <f>$B15 * IFERROR(VLOOKUP("LULUCF|SO2|Work loss days", US_national_yearly!$D:$AM, 32, FALSE) / VLOOKUP("LULUCF|SO2|Work loss days", US_national_yearly!$D:$AM, 10, FALSE), 1)</f>
        <v>4.3741881918133253E-2</v>
      </c>
      <c r="Y15" s="7">
        <f>$B15 * IFERROR(VLOOKUP("LULUCF|SO2|Work loss days", US_national_yearly!$D:$AM, 33, FALSE) / VLOOKUP("LULUCF|SO2|Work loss days", US_national_yearly!$D:$AM, 10, FALSE), 1)</f>
        <v>4.4040186262576345E-2</v>
      </c>
      <c r="Z15" s="7">
        <f>$B15 * IFERROR(VLOOKUP("LULUCF|SO2|Work loss days", US_national_yearly!$D:$AM, 34, FALSE) / VLOOKUP("LULUCF|SO2|Work loss days", US_national_yearly!$D:$AM, 10, FALSE), 1)</f>
        <v>4.4338490607019436E-2</v>
      </c>
      <c r="AA15" s="7">
        <f>$B15 * IFERROR(VLOOKUP("LULUCF|SO2|Work loss days", US_national_yearly!$D:$AM, 35, FALSE) / VLOOKUP("LULUCF|SO2|Work loss days", US_national_yearly!$D:$AM, 10, FALSE), 1)</f>
        <v>4.463679495146252E-2</v>
      </c>
      <c r="AB15" s="7">
        <f>$B15 * IFERROR(VLOOKUP("LULUCF|SO2|Work loss days", US_national_yearly!$D:$AM, 36, FALSE) / VLOOKUP("LULUCF|SO2|Work loss days", US_national_yearly!$D:$AM, 10, FALSE), 1)</f>
        <v>4.4935099295905612E-2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7.1931753907216657E-5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7.4107245602395342E-5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7.628273729757404E-5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7.8458228992752725E-5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8.0633720687931437E-5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8.2717634874985213E-5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8.4801549062039016E-5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8.6587056848040587E-5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8.8372564634042159E-5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9.015807242004373E-5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9.1943580206045301E-5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9.3729087992046859E-5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9.4928542503829264E-5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9.6127997015611654E-5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9.7327451527394059E-5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9.8526906039176449E-5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9.9726360550958867E-5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1.003571882229154E-4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1.0098801589487194E-4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1.0161884356682848E-4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1.0224967123878502E-4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1.0288049891074155E-4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1.0330399438049557E-4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1.037274898502496E-4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1.0415098532000362E-4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1.0457448078975766E-4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1.0499797625951167E-4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2026-06-15T17:15:42Z</dcterms:modified>
</cp:coreProperties>
</file>