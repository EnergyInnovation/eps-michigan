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MI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305</v>
      </c>
      <c r="C4" t="inlineStr">
        <is>
          <t>Alger-Delta Coop Electric Assn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MI</t>
        </is>
      </c>
      <c r="H4" t="inlineStr">
        <is>
          <t>Cooperative</t>
        </is>
      </c>
      <c r="I4" t="inlineStr">
        <is>
          <t>MISO</t>
        </is>
      </c>
      <c r="J4" t="n">
        <v>11995.9</v>
      </c>
      <c r="K4" t="n">
        <v>51600</v>
      </c>
      <c r="L4" t="n">
        <v>9817</v>
      </c>
      <c r="M4" t="n">
        <v>1834.5</v>
      </c>
      <c r="N4" t="n">
        <v>11320</v>
      </c>
      <c r="O4" t="n">
        <v>495</v>
      </c>
      <c r="P4" t="n">
        <v>4014.9</v>
      </c>
      <c r="Q4" t="n">
        <v>31953</v>
      </c>
      <c r="R4" t="n">
        <v>1</v>
      </c>
      <c r="S4" t="n">
        <v>0</v>
      </c>
      <c r="T4" t="n">
        <v>0</v>
      </c>
      <c r="U4" t="n">
        <v>0</v>
      </c>
      <c r="V4" t="n">
        <v>17845.3</v>
      </c>
      <c r="W4" t="n">
        <v>94873</v>
      </c>
      <c r="X4" t="n">
        <v>10313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392</v>
      </c>
      <c r="C5" t="inlineStr">
        <is>
          <t>Alpena Power Co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MI</t>
        </is>
      </c>
      <c r="H5" t="inlineStr">
        <is>
          <t>Investor Owned</t>
        </is>
      </c>
      <c r="I5" t="inlineStr">
        <is>
          <t>MISO</t>
        </is>
      </c>
      <c r="J5" t="n">
        <v>15157.9</v>
      </c>
      <c r="K5" t="n">
        <v>86989</v>
      </c>
      <c r="L5" t="n">
        <v>13763</v>
      </c>
      <c r="M5" t="n">
        <v>13651.6</v>
      </c>
      <c r="N5" t="n">
        <v>89556</v>
      </c>
      <c r="O5" t="n">
        <v>3041</v>
      </c>
      <c r="P5" t="n">
        <v>7916.1</v>
      </c>
      <c r="Q5" t="n">
        <v>109161</v>
      </c>
      <c r="R5" t="n">
        <v>3</v>
      </c>
      <c r="S5" t="n">
        <v>0</v>
      </c>
      <c r="T5" t="n">
        <v>0</v>
      </c>
      <c r="U5" t="n">
        <v>0</v>
      </c>
      <c r="V5" t="n">
        <v>36725.6</v>
      </c>
      <c r="W5" t="n">
        <v>285706</v>
      </c>
      <c r="X5" t="n">
        <v>16807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1196</v>
      </c>
      <c r="C6" t="inlineStr">
        <is>
          <t>Village of Baraga - (MI)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MI</t>
        </is>
      </c>
      <c r="H6" t="inlineStr">
        <is>
          <t>Municipal</t>
        </is>
      </c>
      <c r="I6" t="inlineStr">
        <is>
          <t>MISO</t>
        </is>
      </c>
      <c r="J6" t="n">
        <v>424.7</v>
      </c>
      <c r="K6" t="n">
        <v>2772</v>
      </c>
      <c r="L6" t="n">
        <v>555</v>
      </c>
      <c r="M6" t="n">
        <v>1951.8</v>
      </c>
      <c r="N6" t="n">
        <v>14206</v>
      </c>
      <c r="O6" t="n">
        <v>254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2376.5</v>
      </c>
      <c r="W6" t="n">
        <v>16978</v>
      </c>
      <c r="X6" t="n">
        <v>809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1366</v>
      </c>
      <c r="C7" t="inlineStr">
        <is>
          <t>City of Bay City - (MI)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MI</t>
        </is>
      </c>
      <c r="H7" t="inlineStr">
        <is>
          <t>Municipal</t>
        </is>
      </c>
      <c r="I7" t="inlineStr">
        <is>
          <t>MISO</t>
        </is>
      </c>
      <c r="J7" t="n">
        <v>19124.1</v>
      </c>
      <c r="K7" t="n">
        <v>124579</v>
      </c>
      <c r="L7" t="n">
        <v>18028</v>
      </c>
      <c r="M7" t="n">
        <v>24793.8</v>
      </c>
      <c r="N7" t="n">
        <v>131259</v>
      </c>
      <c r="O7" t="n">
        <v>2205</v>
      </c>
      <c r="P7" t="n">
        <v>6305.8</v>
      </c>
      <c r="Q7" t="n">
        <v>53589</v>
      </c>
      <c r="R7" t="n">
        <v>133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50223.7</v>
      </c>
      <c r="W7" t="n">
        <v>309427</v>
      </c>
      <c r="X7" t="n">
        <v>20366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3436</v>
      </c>
      <c r="C8" t="inlineStr">
        <is>
          <t>Cherryland Electric Coop Inc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MI</t>
        </is>
      </c>
      <c r="H8" t="inlineStr">
        <is>
          <t>Cooperative</t>
        </is>
      </c>
      <c r="I8" t="inlineStr">
        <is>
          <t>MISO</t>
        </is>
      </c>
      <c r="J8" t="n">
        <v>46240.3</v>
      </c>
      <c r="K8" t="n">
        <v>282656</v>
      </c>
      <c r="L8" t="n">
        <v>35100</v>
      </c>
      <c r="M8" t="n">
        <v>13125.7</v>
      </c>
      <c r="N8" t="n">
        <v>113954</v>
      </c>
      <c r="O8" t="n">
        <v>3117</v>
      </c>
      <c r="P8" t="n">
        <v>1188.9</v>
      </c>
      <c r="Q8" t="n">
        <v>9458</v>
      </c>
      <c r="R8" t="n">
        <v>341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60554.9</v>
      </c>
      <c r="W8" t="n">
        <v>406068</v>
      </c>
      <c r="X8" t="n">
        <v>38558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3828</v>
      </c>
      <c r="C9" t="inlineStr">
        <is>
          <t>Cloverland Electric Co-op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MI</t>
        </is>
      </c>
      <c r="H9" t="inlineStr">
        <is>
          <t>Cooperative</t>
        </is>
      </c>
      <c r="I9" t="inlineStr">
        <is>
          <t>MISO</t>
        </is>
      </c>
      <c r="J9" t="n">
        <v>40335.8</v>
      </c>
      <c r="K9" t="n">
        <v>280674</v>
      </c>
      <c r="L9" t="n">
        <v>36086</v>
      </c>
      <c r="M9" t="n">
        <v>34349.9</v>
      </c>
      <c r="N9" t="n">
        <v>285591</v>
      </c>
      <c r="O9" t="n">
        <v>7685</v>
      </c>
      <c r="P9" t="n">
        <v>13725.3</v>
      </c>
      <c r="Q9" t="n">
        <v>155658</v>
      </c>
      <c r="R9" t="n">
        <v>8</v>
      </c>
      <c r="S9" t="n">
        <v>0</v>
      </c>
      <c r="T9" t="n">
        <v>0</v>
      </c>
      <c r="U9" t="n">
        <v>0</v>
      </c>
      <c r="V9" t="n">
        <v>88411</v>
      </c>
      <c r="W9" t="n">
        <v>721923</v>
      </c>
      <c r="X9" t="n">
        <v>43779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3915</v>
      </c>
      <c r="C10" t="inlineStr">
        <is>
          <t>Coldwater Board of Public Util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MI</t>
        </is>
      </c>
      <c r="H10" t="inlineStr">
        <is>
          <t>Municipal</t>
        </is>
      </c>
      <c r="I10" t="inlineStr">
        <is>
          <t>MISO</t>
        </is>
      </c>
      <c r="J10" t="n">
        <v>6548.4</v>
      </c>
      <c r="K10" t="n">
        <v>44059</v>
      </c>
      <c r="L10" t="n">
        <v>6393</v>
      </c>
      <c r="M10" t="n">
        <v>6038.9</v>
      </c>
      <c r="N10" t="n">
        <v>41953</v>
      </c>
      <c r="O10" t="n">
        <v>1369</v>
      </c>
      <c r="P10" t="n">
        <v>35346.4</v>
      </c>
      <c r="Q10" t="n">
        <v>389221</v>
      </c>
      <c r="R10" t="n">
        <v>67</v>
      </c>
      <c r="S10" t="n">
        <v>0</v>
      </c>
      <c r="T10" t="n">
        <v>0</v>
      </c>
      <c r="U10" t="n">
        <v>0</v>
      </c>
      <c r="V10" t="n">
        <v>47933.7</v>
      </c>
      <c r="W10" t="n">
        <v>475233</v>
      </c>
      <c r="X10" t="n">
        <v>7829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3991</v>
      </c>
      <c r="C11" t="inlineStr">
        <is>
          <t>CMS Energy Resource Management</t>
        </is>
      </c>
      <c r="D11" t="inlineStr">
        <is>
          <t>B</t>
        </is>
      </c>
      <c r="E11" t="inlineStr">
        <is>
          <t>Energy</t>
        </is>
      </c>
      <c r="F11" t="inlineStr">
        <is>
          <t>O</t>
        </is>
      </c>
      <c r="G11" t="inlineStr">
        <is>
          <t>MI</t>
        </is>
      </c>
      <c r="H11" t="inlineStr">
        <is>
          <t>Retail Power Marketer</t>
        </is>
      </c>
      <c r="I11" t="inlineStr">
        <is>
          <t>MISO</t>
        </is>
      </c>
      <c r="J11" t="n">
        <v>0</v>
      </c>
      <c r="K11" t="n">
        <v>0</v>
      </c>
      <c r="L11" t="n">
        <v>0</v>
      </c>
      <c r="M11" t="n">
        <v>12032.4</v>
      </c>
      <c r="N11" t="n">
        <v>256053</v>
      </c>
      <c r="O11" t="n">
        <v>10</v>
      </c>
      <c r="P11" t="n">
        <v>10353.3</v>
      </c>
      <c r="Q11" t="n">
        <v>176558</v>
      </c>
      <c r="R11" t="n">
        <v>1</v>
      </c>
      <c r="S11" t="n">
        <v>0</v>
      </c>
      <c r="T11" t="n">
        <v>0</v>
      </c>
      <c r="U11" t="n">
        <v>0</v>
      </c>
      <c r="V11" t="n">
        <v>22385.7</v>
      </c>
      <c r="W11" t="n">
        <v>432611</v>
      </c>
      <c r="X11" t="n">
        <v>11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4254</v>
      </c>
      <c r="C12" t="inlineStr">
        <is>
          <t>Consumers Energy Co - (MI)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MI</t>
        </is>
      </c>
      <c r="H12" t="inlineStr">
        <is>
          <t>Investor Owned</t>
        </is>
      </c>
      <c r="I12" t="inlineStr">
        <is>
          <t>MISO</t>
        </is>
      </c>
      <c r="J12" t="n">
        <v>2387568.9</v>
      </c>
      <c r="K12" t="n">
        <v>12495282</v>
      </c>
      <c r="L12" t="n">
        <v>1657843</v>
      </c>
      <c r="M12" t="n">
        <v>1780928.2</v>
      </c>
      <c r="N12" t="n">
        <v>11899731</v>
      </c>
      <c r="O12" t="n">
        <v>234456</v>
      </c>
      <c r="P12" t="n">
        <v>718552.9</v>
      </c>
      <c r="Q12" t="n">
        <v>8543269</v>
      </c>
      <c r="R12" t="n">
        <v>1232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4887050</v>
      </c>
      <c r="W12" t="n">
        <v>32938282</v>
      </c>
      <c r="X12" t="n">
        <v>1893531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4254</v>
      </c>
      <c r="C13" t="inlineStr">
        <is>
          <t>Consumers Energy Co - (MI)</t>
        </is>
      </c>
      <c r="D13" t="inlineStr">
        <is>
          <t>C</t>
        </is>
      </c>
      <c r="E13" t="inlineStr">
        <is>
          <t>Delivery</t>
        </is>
      </c>
      <c r="F13" t="inlineStr">
        <is>
          <t>O</t>
        </is>
      </c>
      <c r="G13" t="inlineStr">
        <is>
          <t>MI</t>
        </is>
      </c>
      <c r="H13" t="inlineStr">
        <is>
          <t>Investor Owned</t>
        </is>
      </c>
      <c r="I13" t="inlineStr">
        <is>
          <t>MISO</t>
        </is>
      </c>
      <c r="J13" t="inlineStr">
        <is>
          <t>.</t>
        </is>
      </c>
      <c r="K13" t="inlineStr">
        <is>
          <t>.</t>
        </is>
      </c>
      <c r="L13" t="inlineStr">
        <is>
          <t>.</t>
        </is>
      </c>
      <c r="M13" t="n">
        <v>28657.9</v>
      </c>
      <c r="N13" t="n">
        <v>956479</v>
      </c>
      <c r="O13" t="n">
        <v>831</v>
      </c>
      <c r="P13" t="n">
        <v>18592</v>
      </c>
      <c r="Q13" t="n">
        <v>2626110</v>
      </c>
      <c r="R13" t="n">
        <v>130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47249.9</v>
      </c>
      <c r="W13" t="n">
        <v>3582589</v>
      </c>
      <c r="X13" t="n">
        <v>961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4604</v>
      </c>
      <c r="C14" t="inlineStr">
        <is>
          <t>City of Crystal Falls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MI</t>
        </is>
      </c>
      <c r="H14" t="inlineStr">
        <is>
          <t>Municipal</t>
        </is>
      </c>
      <c r="I14" t="inlineStr">
        <is>
          <t>MISO</t>
        </is>
      </c>
      <c r="J14" t="n">
        <v>1385.9</v>
      </c>
      <c r="K14" t="n">
        <v>7342</v>
      </c>
      <c r="L14" t="n">
        <v>1330</v>
      </c>
      <c r="M14" t="n">
        <v>1387.7</v>
      </c>
      <c r="N14" t="n">
        <v>8993</v>
      </c>
      <c r="O14" t="n">
        <v>273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2773.6</v>
      </c>
      <c r="W14" t="n">
        <v>16335</v>
      </c>
      <c r="X14" t="n">
        <v>1603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5109</v>
      </c>
      <c r="C15" t="inlineStr">
        <is>
          <t>DTE Electric Company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MI</t>
        </is>
      </c>
      <c r="H15" t="inlineStr">
        <is>
          <t>Investor Owned</t>
        </is>
      </c>
      <c r="I15" t="inlineStr">
        <is>
          <t>MISO</t>
        </is>
      </c>
      <c r="J15" t="n">
        <v>3045482.9</v>
      </c>
      <c r="K15" t="n">
        <v>15131396</v>
      </c>
      <c r="L15" t="n">
        <v>2067758</v>
      </c>
      <c r="M15" t="n">
        <v>2335247.7</v>
      </c>
      <c r="N15" t="n">
        <v>16413078</v>
      </c>
      <c r="O15" t="n">
        <v>210594</v>
      </c>
      <c r="P15" t="n">
        <v>714756.9</v>
      </c>
      <c r="Q15" t="n">
        <v>8554762</v>
      </c>
      <c r="R15" t="n">
        <v>713</v>
      </c>
      <c r="S15" t="n">
        <v>771.9</v>
      </c>
      <c r="T15" t="n">
        <v>5477</v>
      </c>
      <c r="U15" t="n">
        <v>2</v>
      </c>
      <c r="V15" t="n">
        <v>6096259.4</v>
      </c>
      <c r="W15" t="n">
        <v>40104713</v>
      </c>
      <c r="X15" t="n">
        <v>2279067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5109</v>
      </c>
      <c r="C16" t="inlineStr">
        <is>
          <t>DTE Electric Company</t>
        </is>
      </c>
      <c r="D16" t="inlineStr">
        <is>
          <t>C</t>
        </is>
      </c>
      <c r="E16" t="inlineStr">
        <is>
          <t>Delivery</t>
        </is>
      </c>
      <c r="F16" t="inlineStr">
        <is>
          <t>O</t>
        </is>
      </c>
      <c r="G16" t="inlineStr">
        <is>
          <t>MI</t>
        </is>
      </c>
      <c r="H16" t="inlineStr">
        <is>
          <t>Investor Owned</t>
        </is>
      </c>
      <c r="I16" t="inlineStr">
        <is>
          <t>MISO</t>
        </is>
      </c>
      <c r="J16" t="n">
        <v>13.9</v>
      </c>
      <c r="K16" t="n">
        <v>145</v>
      </c>
      <c r="L16" t="n">
        <v>21</v>
      </c>
      <c r="M16" t="n">
        <v>93676.89999999999</v>
      </c>
      <c r="N16" t="n">
        <v>2762059</v>
      </c>
      <c r="O16" t="n">
        <v>4102</v>
      </c>
      <c r="P16" t="n">
        <v>17532.4</v>
      </c>
      <c r="Q16" t="n">
        <v>1553193</v>
      </c>
      <c r="R16" t="n">
        <v>116</v>
      </c>
      <c r="S16" t="n">
        <v>0</v>
      </c>
      <c r="T16" t="n">
        <v>0</v>
      </c>
      <c r="U16" t="n">
        <v>0</v>
      </c>
      <c r="V16" t="n">
        <v>111223.2</v>
      </c>
      <c r="W16" t="n">
        <v>4315397</v>
      </c>
      <c r="X16" t="n">
        <v>4239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6458</v>
      </c>
      <c r="C17" t="inlineStr">
        <is>
          <t>Energy Harbor Corp.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MI</t>
        </is>
      </c>
      <c r="H17" t="inlineStr">
        <is>
          <t>Retail Power Marketer</t>
        </is>
      </c>
      <c r="I17" t="inlineStr">
        <is>
          <t>MISO</t>
        </is>
      </c>
      <c r="J17" t="n">
        <v>0</v>
      </c>
      <c r="K17" t="n">
        <v>0</v>
      </c>
      <c r="L17" t="n">
        <v>0</v>
      </c>
      <c r="M17" t="n">
        <v>17218.9</v>
      </c>
      <c r="N17" t="n">
        <v>284755</v>
      </c>
      <c r="O17" t="n">
        <v>58</v>
      </c>
      <c r="P17" t="n">
        <v>7994.5</v>
      </c>
      <c r="Q17" t="n">
        <v>157642</v>
      </c>
      <c r="R17" t="n">
        <v>8</v>
      </c>
      <c r="S17" t="n">
        <v>0</v>
      </c>
      <c r="T17" t="n">
        <v>0</v>
      </c>
      <c r="U17" t="n">
        <v>0</v>
      </c>
      <c r="V17" t="n">
        <v>25213.4</v>
      </c>
      <c r="W17" t="n">
        <v>442397</v>
      </c>
      <c r="X17" t="n">
        <v>66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7265</v>
      </c>
      <c r="C18" t="inlineStr">
        <is>
          <t>City of Gladstone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MI</t>
        </is>
      </c>
      <c r="H18" t="inlineStr">
        <is>
          <t>Municipal</t>
        </is>
      </c>
      <c r="I18" t="inlineStr">
        <is>
          <t>MISO</t>
        </is>
      </c>
      <c r="J18" t="n">
        <v>2328.2</v>
      </c>
      <c r="K18" t="n">
        <v>14910</v>
      </c>
      <c r="L18" t="n">
        <v>2339</v>
      </c>
      <c r="M18" t="n">
        <v>1809</v>
      </c>
      <c r="N18" t="n">
        <v>13400</v>
      </c>
      <c r="O18" t="n">
        <v>348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4137.2</v>
      </c>
      <c r="W18" t="n">
        <v>28310</v>
      </c>
      <c r="X18" t="n">
        <v>2687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7483</v>
      </c>
      <c r="C19" t="inlineStr">
        <is>
          <t>City of Grand Haven - (MI)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MI</t>
        </is>
      </c>
      <c r="H19" t="inlineStr">
        <is>
          <t>Municipal</t>
        </is>
      </c>
      <c r="I19" t="inlineStr">
        <is>
          <t>MISO</t>
        </is>
      </c>
      <c r="J19" t="n">
        <v>12967.1</v>
      </c>
      <c r="K19" t="n">
        <v>87946</v>
      </c>
      <c r="L19" t="n">
        <v>13231</v>
      </c>
      <c r="M19" t="n">
        <v>11765.2</v>
      </c>
      <c r="N19" t="n">
        <v>85759</v>
      </c>
      <c r="O19" t="n">
        <v>1760</v>
      </c>
      <c r="P19" t="n">
        <v>11486.4</v>
      </c>
      <c r="Q19" t="n">
        <v>98639</v>
      </c>
      <c r="R19" t="n">
        <v>126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36218.7</v>
      </c>
      <c r="W19" t="n">
        <v>272344</v>
      </c>
      <c r="X19" t="n">
        <v>15117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8723</v>
      </c>
      <c r="C20" t="inlineStr">
        <is>
          <t>City of Holland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MI</t>
        </is>
      </c>
      <c r="H20" t="inlineStr">
        <is>
          <t>Municipal</t>
        </is>
      </c>
      <c r="I20" t="inlineStr">
        <is>
          <t>MISO</t>
        </is>
      </c>
      <c r="J20" t="n">
        <v>21598.3</v>
      </c>
      <c r="K20" t="n">
        <v>184987</v>
      </c>
      <c r="L20" t="n">
        <v>26608</v>
      </c>
      <c r="M20" t="n">
        <v>34099.2</v>
      </c>
      <c r="N20" t="n">
        <v>319564</v>
      </c>
      <c r="O20" t="n">
        <v>4674</v>
      </c>
      <c r="P20" t="n">
        <v>47715</v>
      </c>
      <c r="Q20" t="n">
        <v>626843</v>
      </c>
      <c r="R20" t="n">
        <v>175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103412.5</v>
      </c>
      <c r="W20" t="n">
        <v>1131394</v>
      </c>
      <c r="X20" t="n">
        <v>31457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9324</v>
      </c>
      <c r="C21" t="inlineStr">
        <is>
          <t>Indiana Michigan Power Co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MI</t>
        </is>
      </c>
      <c r="H21" t="inlineStr">
        <is>
          <t>Investor Owned</t>
        </is>
      </c>
      <c r="I21" t="inlineStr">
        <is>
          <t>PJM</t>
        </is>
      </c>
      <c r="J21" t="n">
        <v>188749.7</v>
      </c>
      <c r="K21" t="n">
        <v>1109966</v>
      </c>
      <c r="L21" t="n">
        <v>112600</v>
      </c>
      <c r="M21" t="n">
        <v>118962.8</v>
      </c>
      <c r="N21" t="n">
        <v>979208</v>
      </c>
      <c r="O21" t="n">
        <v>18879</v>
      </c>
      <c r="P21" t="n">
        <v>62424</v>
      </c>
      <c r="Q21" t="n">
        <v>537045</v>
      </c>
      <c r="R21" t="n">
        <v>743</v>
      </c>
      <c r="S21" t="n">
        <v>0</v>
      </c>
      <c r="T21" t="n">
        <v>0</v>
      </c>
      <c r="U21" t="n">
        <v>0</v>
      </c>
      <c r="V21" t="n">
        <v>370136.5</v>
      </c>
      <c r="W21" t="n">
        <v>2626219</v>
      </c>
      <c r="X21" t="n">
        <v>132222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9324</v>
      </c>
      <c r="C22" t="inlineStr">
        <is>
          <t>Indiana Michigan Power Co</t>
        </is>
      </c>
      <c r="D22" t="inlineStr">
        <is>
          <t>C</t>
        </is>
      </c>
      <c r="E22" t="inlineStr">
        <is>
          <t>Delivery</t>
        </is>
      </c>
      <c r="F22" t="inlineStr">
        <is>
          <t>O</t>
        </is>
      </c>
      <c r="G22" t="inlineStr">
        <is>
          <t>MI</t>
        </is>
      </c>
      <c r="H22" t="inlineStr">
        <is>
          <t>Investor Owned</t>
        </is>
      </c>
      <c r="I22" t="inlineStr">
        <is>
          <t>PJM</t>
        </is>
      </c>
      <c r="J22" t="inlineStr">
        <is>
          <t>.</t>
        </is>
      </c>
      <c r="K22" t="inlineStr">
        <is>
          <t>.</t>
        </is>
      </c>
      <c r="L22" t="inlineStr">
        <is>
          <t>.</t>
        </is>
      </c>
      <c r="M22" t="n">
        <v>1231.6</v>
      </c>
      <c r="N22" t="n">
        <v>67788</v>
      </c>
      <c r="O22" t="n">
        <v>31</v>
      </c>
      <c r="P22" t="n">
        <v>1972.6</v>
      </c>
      <c r="Q22" t="n">
        <v>228352</v>
      </c>
      <c r="R22" t="n">
        <v>20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3204.2</v>
      </c>
      <c r="W22" t="n">
        <v>296140</v>
      </c>
      <c r="X22" t="n">
        <v>51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10508</v>
      </c>
      <c r="C23" t="inlineStr">
        <is>
          <t>Village of L'Anse - (MI)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MI</t>
        </is>
      </c>
      <c r="H23" t="inlineStr">
        <is>
          <t>Municipal</t>
        </is>
      </c>
      <c r="I23" t="inlineStr">
        <is>
          <t>MISO</t>
        </is>
      </c>
      <c r="J23" t="n">
        <v>799.6</v>
      </c>
      <c r="K23" t="n">
        <v>4753</v>
      </c>
      <c r="L23" t="n">
        <v>946</v>
      </c>
      <c r="M23" t="n">
        <v>972</v>
      </c>
      <c r="N23" t="n">
        <v>6735</v>
      </c>
      <c r="O23" t="n">
        <v>208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1771.6</v>
      </c>
      <c r="W23" t="n">
        <v>11488</v>
      </c>
      <c r="X23" t="n">
        <v>1154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10704</v>
      </c>
      <c r="C24" t="inlineStr">
        <is>
          <t>City of Lansing - (MI)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MI</t>
        </is>
      </c>
      <c r="H24" t="inlineStr">
        <is>
          <t>Municipal</t>
        </is>
      </c>
      <c r="I24" t="inlineStr">
        <is>
          <t>MISO</t>
        </is>
      </c>
      <c r="J24" t="n">
        <v>106606</v>
      </c>
      <c r="K24" t="n">
        <v>538955</v>
      </c>
      <c r="L24" t="n">
        <v>87301</v>
      </c>
      <c r="M24" t="n">
        <v>158172</v>
      </c>
      <c r="N24" t="n">
        <v>970905</v>
      </c>
      <c r="O24" t="n">
        <v>12116</v>
      </c>
      <c r="P24" t="n">
        <v>67691</v>
      </c>
      <c r="Q24" t="n">
        <v>502945</v>
      </c>
      <c r="R24" t="n">
        <v>232</v>
      </c>
      <c r="S24" t="n">
        <v>0</v>
      </c>
      <c r="T24" t="n">
        <v>0</v>
      </c>
      <c r="U24" t="n">
        <v>0</v>
      </c>
      <c r="V24" t="n">
        <v>332469</v>
      </c>
      <c r="W24" t="n">
        <v>2012805</v>
      </c>
      <c r="X24" t="n">
        <v>99649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11701</v>
      </c>
      <c r="C25" t="inlineStr">
        <is>
          <t>City of Marquette - (MI)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MI</t>
        </is>
      </c>
      <c r="H25" t="inlineStr">
        <is>
          <t>Municipal</t>
        </is>
      </c>
      <c r="I25" t="inlineStr">
        <is>
          <t>MISO</t>
        </is>
      </c>
      <c r="J25" t="n">
        <v>15550</v>
      </c>
      <c r="K25" t="n">
        <v>91673</v>
      </c>
      <c r="L25" t="n">
        <v>15036</v>
      </c>
      <c r="M25" t="n">
        <v>25414.6</v>
      </c>
      <c r="N25" t="n">
        <v>166025</v>
      </c>
      <c r="O25" t="n">
        <v>2130</v>
      </c>
      <c r="P25" t="inlineStr">
        <is>
          <t>.</t>
        </is>
      </c>
      <c r="Q25" t="inlineStr">
        <is>
          <t>.</t>
        </is>
      </c>
      <c r="R25" t="inlineStr">
        <is>
          <t>.</t>
        </is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40964.6</v>
      </c>
      <c r="W25" t="n">
        <v>257698</v>
      </c>
      <c r="X25" t="n">
        <v>17166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12377</v>
      </c>
      <c r="C26" t="inlineStr">
        <is>
          <t>Midwest Energy Cooperative - (MI)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MI</t>
        </is>
      </c>
      <c r="H26" t="inlineStr">
        <is>
          <t>Cooperative</t>
        </is>
      </c>
      <c r="I26" t="inlineStr">
        <is>
          <t>PJM</t>
        </is>
      </c>
      <c r="J26" t="n">
        <v>65082.9</v>
      </c>
      <c r="K26" t="n">
        <v>326871</v>
      </c>
      <c r="L26" t="n">
        <v>29283</v>
      </c>
      <c r="M26" t="n">
        <v>40072.3</v>
      </c>
      <c r="N26" t="n">
        <v>226506</v>
      </c>
      <c r="O26" t="n">
        <v>6319</v>
      </c>
      <c r="P26" t="inlineStr">
        <is>
          <t>.</t>
        </is>
      </c>
      <c r="Q26" t="inlineStr">
        <is>
          <t>.</t>
        </is>
      </c>
      <c r="R26" t="inlineStr">
        <is>
          <t>.</t>
        </is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105155.2</v>
      </c>
      <c r="W26" t="n">
        <v>553377</v>
      </c>
      <c r="X26" t="n">
        <v>35602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13352</v>
      </c>
      <c r="C27" t="inlineStr">
        <is>
          <t>City of Negaunee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MI</t>
        </is>
      </c>
      <c r="H27" t="inlineStr">
        <is>
          <t>Municipal</t>
        </is>
      </c>
      <c r="I27" t="inlineStr">
        <is>
          <t>MISO</t>
        </is>
      </c>
      <c r="J27" t="n">
        <v>2400.9</v>
      </c>
      <c r="K27" t="n">
        <v>11056</v>
      </c>
      <c r="L27" t="n">
        <v>1978</v>
      </c>
      <c r="M27" t="n">
        <v>1608.7</v>
      </c>
      <c r="N27" t="n">
        <v>9946</v>
      </c>
      <c r="O27" t="n">
        <v>285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4009.6</v>
      </c>
      <c r="W27" t="n">
        <v>21002</v>
      </c>
      <c r="X27" t="n">
        <v>2263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13374</v>
      </c>
      <c r="C28" t="inlineStr">
        <is>
          <t>Constellation NewEnergy, Inc</t>
        </is>
      </c>
      <c r="D28" t="inlineStr">
        <is>
          <t>B</t>
        </is>
      </c>
      <c r="E28" t="inlineStr">
        <is>
          <t>Energy</t>
        </is>
      </c>
      <c r="F28" t="inlineStr">
        <is>
          <t>O</t>
        </is>
      </c>
      <c r="G28" t="inlineStr">
        <is>
          <t>MI</t>
        </is>
      </c>
      <c r="H28" t="inlineStr">
        <is>
          <t>Retail Power Marketer</t>
        </is>
      </c>
      <c r="I28" t="inlineStr">
        <is>
          <t>PJM</t>
        </is>
      </c>
      <c r="J28" t="n">
        <v>0</v>
      </c>
      <c r="K28" t="n">
        <v>0</v>
      </c>
      <c r="L28" t="n">
        <v>0</v>
      </c>
      <c r="M28" t="n">
        <v>8204.700000000001</v>
      </c>
      <c r="N28" t="n">
        <v>109470</v>
      </c>
      <c r="O28" t="n">
        <v>54</v>
      </c>
      <c r="P28" t="n">
        <v>13265.1</v>
      </c>
      <c r="Q28" t="n">
        <v>187408</v>
      </c>
      <c r="R28" t="n">
        <v>5</v>
      </c>
      <c r="S28" t="n">
        <v>0</v>
      </c>
      <c r="T28" t="n">
        <v>0</v>
      </c>
      <c r="U28" t="n">
        <v>0</v>
      </c>
      <c r="V28" t="n">
        <v>21469.8</v>
      </c>
      <c r="W28" t="n">
        <v>296878</v>
      </c>
      <c r="X28" t="n">
        <v>59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13374</v>
      </c>
      <c r="C29" t="inlineStr">
        <is>
          <t>Constellation NewEnergy, Inc</t>
        </is>
      </c>
      <c r="D29" t="inlineStr">
        <is>
          <t>B</t>
        </is>
      </c>
      <c r="E29" t="inlineStr">
        <is>
          <t>Energy</t>
        </is>
      </c>
      <c r="F29" t="inlineStr">
        <is>
          <t>O</t>
        </is>
      </c>
      <c r="G29" t="inlineStr">
        <is>
          <t>MI</t>
        </is>
      </c>
      <c r="H29" t="inlineStr">
        <is>
          <t>Retail Power Marketer</t>
        </is>
      </c>
      <c r="I29" t="inlineStr">
        <is>
          <t>MISO</t>
        </is>
      </c>
      <c r="J29" t="n">
        <v>0</v>
      </c>
      <c r="K29" t="n">
        <v>0</v>
      </c>
      <c r="L29" t="n">
        <v>0</v>
      </c>
      <c r="M29" t="n">
        <v>169904.4</v>
      </c>
      <c r="N29" t="n">
        <v>2391303</v>
      </c>
      <c r="O29" t="n">
        <v>2815</v>
      </c>
      <c r="P29" t="n">
        <v>127553.6</v>
      </c>
      <c r="Q29" t="n">
        <v>1899236</v>
      </c>
      <c r="R29" t="n">
        <v>313</v>
      </c>
      <c r="S29" t="n">
        <v>0</v>
      </c>
      <c r="T29" t="n">
        <v>0</v>
      </c>
      <c r="U29" t="n">
        <v>0</v>
      </c>
      <c r="V29" t="n">
        <v>297458</v>
      </c>
      <c r="W29" t="n">
        <v>4290539</v>
      </c>
      <c r="X29" t="n">
        <v>3128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13780</v>
      </c>
      <c r="C30" t="inlineStr">
        <is>
          <t>Northern States Power Co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MI</t>
        </is>
      </c>
      <c r="H30" t="inlineStr">
        <is>
          <t>Investor Owned</t>
        </is>
      </c>
      <c r="I30" t="inlineStr">
        <is>
          <t>MISO</t>
        </is>
      </c>
      <c r="J30" t="n">
        <v>7726.4</v>
      </c>
      <c r="K30" t="n">
        <v>52715</v>
      </c>
      <c r="L30" t="n">
        <v>7579</v>
      </c>
      <c r="M30" t="n">
        <v>6167</v>
      </c>
      <c r="N30" t="n">
        <v>47036</v>
      </c>
      <c r="O30" t="n">
        <v>1343</v>
      </c>
      <c r="P30" t="n">
        <v>2267</v>
      </c>
      <c r="Q30" t="n">
        <v>30745</v>
      </c>
      <c r="R30" t="n">
        <v>2</v>
      </c>
      <c r="S30" t="n">
        <v>0</v>
      </c>
      <c r="T30" t="n">
        <v>0</v>
      </c>
      <c r="U30" t="n">
        <v>0</v>
      </c>
      <c r="V30" t="n">
        <v>16160.4</v>
      </c>
      <c r="W30" t="n">
        <v>130496</v>
      </c>
      <c r="X30" t="n">
        <v>8924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13826</v>
      </c>
      <c r="C31" t="inlineStr">
        <is>
          <t>City of Norway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MI</t>
        </is>
      </c>
      <c r="H31" t="inlineStr">
        <is>
          <t>Municipal</t>
        </is>
      </c>
      <c r="I31" t="inlineStr">
        <is>
          <t>MISO</t>
        </is>
      </c>
      <c r="J31" t="n">
        <v>2211.1</v>
      </c>
      <c r="K31" t="n">
        <v>12961</v>
      </c>
      <c r="L31" t="n">
        <v>1995</v>
      </c>
      <c r="M31" t="n">
        <v>1397</v>
      </c>
      <c r="N31" t="n">
        <v>8961</v>
      </c>
      <c r="O31" t="n">
        <v>262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3608.1</v>
      </c>
      <c r="W31" t="n">
        <v>21922</v>
      </c>
      <c r="X31" t="n">
        <v>2257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15340</v>
      </c>
      <c r="C32" t="inlineStr">
        <is>
          <t>Presque Isle Elec &amp; Gas Coop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MI</t>
        </is>
      </c>
      <c r="H32" t="inlineStr">
        <is>
          <t>Cooperative</t>
        </is>
      </c>
      <c r="I32" t="inlineStr">
        <is>
          <t>MISO</t>
        </is>
      </c>
      <c r="J32" t="n">
        <v>36570</v>
      </c>
      <c r="K32" t="n">
        <v>174203</v>
      </c>
      <c r="L32" t="n">
        <v>32446</v>
      </c>
      <c r="M32" t="n">
        <v>5788</v>
      </c>
      <c r="N32" t="n">
        <v>40183</v>
      </c>
      <c r="O32" t="n">
        <v>2220</v>
      </c>
      <c r="P32" t="n">
        <v>3995</v>
      </c>
      <c r="Q32" t="n">
        <v>32156</v>
      </c>
      <c r="R32" t="n">
        <v>573</v>
      </c>
      <c r="S32" t="inlineStr">
        <is>
          <t>.</t>
        </is>
      </c>
      <c r="T32" t="inlineStr">
        <is>
          <t>.</t>
        </is>
      </c>
      <c r="U32" t="inlineStr">
        <is>
          <t>.</t>
        </is>
      </c>
      <c r="V32" t="n">
        <v>46353</v>
      </c>
      <c r="W32" t="n">
        <v>246542</v>
      </c>
      <c r="X32" t="n">
        <v>35239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16840</v>
      </c>
      <c r="C33" t="inlineStr">
        <is>
          <t>Calpine Energy Solutions, LLC</t>
        </is>
      </c>
      <c r="D33" t="inlineStr">
        <is>
          <t>B</t>
        </is>
      </c>
      <c r="E33" t="inlineStr">
        <is>
          <t>Energy</t>
        </is>
      </c>
      <c r="F33" t="inlineStr">
        <is>
          <t>O</t>
        </is>
      </c>
      <c r="G33" t="inlineStr">
        <is>
          <t>MI</t>
        </is>
      </c>
      <c r="H33" t="inlineStr">
        <is>
          <t>Retail Power Marketer</t>
        </is>
      </c>
      <c r="I33" t="inlineStr">
        <is>
          <t>MISO</t>
        </is>
      </c>
      <c r="J33" t="n">
        <v>0</v>
      </c>
      <c r="K33" t="n">
        <v>0</v>
      </c>
      <c r="L33" t="n">
        <v>0</v>
      </c>
      <c r="M33" t="n">
        <v>52715.9</v>
      </c>
      <c r="N33" t="n">
        <v>797918</v>
      </c>
      <c r="O33" t="n">
        <v>32</v>
      </c>
      <c r="P33" t="n">
        <v>9075.6</v>
      </c>
      <c r="Q33" t="n">
        <v>147644</v>
      </c>
      <c r="R33" t="n">
        <v>8</v>
      </c>
      <c r="S33" t="n">
        <v>0</v>
      </c>
      <c r="T33" t="n">
        <v>0</v>
      </c>
      <c r="U33" t="n">
        <v>0</v>
      </c>
      <c r="V33" t="n">
        <v>61791.5</v>
      </c>
      <c r="W33" t="n">
        <v>945562</v>
      </c>
      <c r="X33" t="n">
        <v>40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18193</v>
      </c>
      <c r="C34" t="inlineStr">
        <is>
          <t>Direct Energy Business</t>
        </is>
      </c>
      <c r="D34" t="inlineStr">
        <is>
          <t>B</t>
        </is>
      </c>
      <c r="E34" t="inlineStr">
        <is>
          <t>Energy</t>
        </is>
      </c>
      <c r="F34" t="inlineStr">
        <is>
          <t>O</t>
        </is>
      </c>
      <c r="G34" t="inlineStr">
        <is>
          <t>MI</t>
        </is>
      </c>
      <c r="H34" t="inlineStr">
        <is>
          <t>Retail Power Marketer</t>
        </is>
      </c>
      <c r="I34" t="inlineStr">
        <is>
          <t>MISO</t>
        </is>
      </c>
      <c r="J34" t="n">
        <v>0</v>
      </c>
      <c r="K34" t="n">
        <v>0</v>
      </c>
      <c r="L34" t="n">
        <v>0</v>
      </c>
      <c r="M34" t="n">
        <v>11087.4</v>
      </c>
      <c r="N34" t="n">
        <v>158987</v>
      </c>
      <c r="O34" t="n">
        <v>155</v>
      </c>
      <c r="P34" t="n">
        <v>42881.8</v>
      </c>
      <c r="Q34" t="n">
        <v>638621</v>
      </c>
      <c r="R34" t="n">
        <v>61</v>
      </c>
      <c r="S34" t="n">
        <v>0</v>
      </c>
      <c r="T34" t="n">
        <v>0</v>
      </c>
      <c r="U34" t="n">
        <v>0</v>
      </c>
      <c r="V34" t="n">
        <v>53969.2</v>
      </c>
      <c r="W34" t="n">
        <v>797608</v>
      </c>
      <c r="X34" t="n">
        <v>216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18252</v>
      </c>
      <c r="C35" t="inlineStr">
        <is>
          <t>City of Sturgis - (MI)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MI</t>
        </is>
      </c>
      <c r="H35" t="inlineStr">
        <is>
          <t>Municipal</t>
        </is>
      </c>
      <c r="I35" t="inlineStr">
        <is>
          <t>PJM</t>
        </is>
      </c>
      <c r="J35" t="n">
        <v>7027.5</v>
      </c>
      <c r="K35" t="n">
        <v>47785</v>
      </c>
      <c r="L35" t="n">
        <v>6117</v>
      </c>
      <c r="M35" t="n">
        <v>6416.7</v>
      </c>
      <c r="N35" t="n">
        <v>37596</v>
      </c>
      <c r="O35" t="n">
        <v>992</v>
      </c>
      <c r="P35" t="n">
        <v>12594.8</v>
      </c>
      <c r="Q35" t="n">
        <v>119701</v>
      </c>
      <c r="R35" t="n">
        <v>64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26039</v>
      </c>
      <c r="W35" t="n">
        <v>205082</v>
      </c>
      <c r="X35" t="n">
        <v>7173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19125</v>
      </c>
      <c r="C36" t="inlineStr">
        <is>
          <t>City of Traverse City - (MI)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MI</t>
        </is>
      </c>
      <c r="H36" t="inlineStr">
        <is>
          <t>Municipal</t>
        </is>
      </c>
      <c r="I36" t="inlineStr">
        <is>
          <t>MISO</t>
        </is>
      </c>
      <c r="J36" t="n">
        <v>7621</v>
      </c>
      <c r="K36" t="n">
        <v>60013</v>
      </c>
      <c r="L36" t="n">
        <v>9161</v>
      </c>
      <c r="M36" t="n">
        <v>17577</v>
      </c>
      <c r="N36" t="n">
        <v>144995</v>
      </c>
      <c r="O36" t="n">
        <v>3945</v>
      </c>
      <c r="P36" t="n">
        <v>10541</v>
      </c>
      <c r="Q36" t="n">
        <v>131746</v>
      </c>
      <c r="R36" t="n">
        <v>40</v>
      </c>
      <c r="S36" t="n">
        <v>0</v>
      </c>
      <c r="T36" t="n">
        <v>0</v>
      </c>
      <c r="U36" t="inlineStr">
        <is>
          <t>.</t>
        </is>
      </c>
      <c r="V36" t="n">
        <v>35739</v>
      </c>
      <c r="W36" t="n">
        <v>336754</v>
      </c>
      <c r="X36" t="n">
        <v>13146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19396</v>
      </c>
      <c r="C37" t="inlineStr">
        <is>
          <t>Tri-County Electric Coop (MI)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MI</t>
        </is>
      </c>
      <c r="H37" t="inlineStr">
        <is>
          <t>Cooperative</t>
        </is>
      </c>
      <c r="I37" t="inlineStr">
        <is>
          <t>MISO</t>
        </is>
      </c>
      <c r="J37" t="n">
        <v>39547.8</v>
      </c>
      <c r="K37" t="n">
        <v>219213</v>
      </c>
      <c r="L37" t="n">
        <v>23034</v>
      </c>
      <c r="M37" t="n">
        <v>8650.799999999999</v>
      </c>
      <c r="N37" t="n">
        <v>47601</v>
      </c>
      <c r="O37" t="n">
        <v>3903</v>
      </c>
      <c r="P37" t="n">
        <v>10200.7</v>
      </c>
      <c r="Q37" t="n">
        <v>97385</v>
      </c>
      <c r="R37" t="n">
        <v>205</v>
      </c>
      <c r="S37" t="n">
        <v>0</v>
      </c>
      <c r="T37" t="n">
        <v>0</v>
      </c>
      <c r="U37" t="n">
        <v>0</v>
      </c>
      <c r="V37" t="n">
        <v>58399.3</v>
      </c>
      <c r="W37" t="n">
        <v>364199</v>
      </c>
      <c r="X37" t="n">
        <v>27142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19578</v>
      </c>
      <c r="C38" t="inlineStr">
        <is>
          <t>Upper Peninsula Power Company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MI</t>
        </is>
      </c>
      <c r="H38" t="inlineStr">
        <is>
          <t>Investor Owned</t>
        </is>
      </c>
      <c r="I38" t="inlineStr">
        <is>
          <t>MISO</t>
        </is>
      </c>
      <c r="J38" t="n">
        <v>67142</v>
      </c>
      <c r="K38" t="n">
        <v>242922</v>
      </c>
      <c r="L38" t="n">
        <v>47660</v>
      </c>
      <c r="M38" t="n">
        <v>31624</v>
      </c>
      <c r="N38" t="n">
        <v>134650</v>
      </c>
      <c r="O38" t="n">
        <v>6139</v>
      </c>
      <c r="P38" t="n">
        <v>25166</v>
      </c>
      <c r="Q38" t="n">
        <v>277964</v>
      </c>
      <c r="R38" t="n">
        <v>46</v>
      </c>
      <c r="S38" t="n">
        <v>0</v>
      </c>
      <c r="T38" t="n">
        <v>0</v>
      </c>
      <c r="U38" t="n">
        <v>0</v>
      </c>
      <c r="V38" t="n">
        <v>123932</v>
      </c>
      <c r="W38" t="n">
        <v>655536</v>
      </c>
      <c r="X38" t="n">
        <v>53845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19578</v>
      </c>
      <c r="C39" t="inlineStr">
        <is>
          <t>Upper Peninsula Power Company</t>
        </is>
      </c>
      <c r="D39" t="inlineStr">
        <is>
          <t>C</t>
        </is>
      </c>
      <c r="E39" t="inlineStr">
        <is>
          <t>Delivery</t>
        </is>
      </c>
      <c r="F39" t="inlineStr">
        <is>
          <t>O</t>
        </is>
      </c>
      <c r="G39" t="inlineStr">
        <is>
          <t>MI</t>
        </is>
      </c>
      <c r="H39" t="inlineStr">
        <is>
          <t>Investor Owned</t>
        </is>
      </c>
      <c r="I39" t="inlineStr">
        <is>
          <t>MISO</t>
        </is>
      </c>
      <c r="J39" t="n">
        <v>0</v>
      </c>
      <c r="K39" t="n">
        <v>0</v>
      </c>
      <c r="L39" t="n">
        <v>0</v>
      </c>
      <c r="M39" t="n">
        <v>929</v>
      </c>
      <c r="N39" t="n">
        <v>14164</v>
      </c>
      <c r="O39" t="n">
        <v>53</v>
      </c>
      <c r="P39" t="n">
        <v>1417</v>
      </c>
      <c r="Q39" t="n">
        <v>70276</v>
      </c>
      <c r="R39" t="n">
        <v>13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2346</v>
      </c>
      <c r="W39" t="n">
        <v>84440</v>
      </c>
      <c r="X39" t="n">
        <v>66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20845</v>
      </c>
      <c r="C40" t="inlineStr">
        <is>
          <t>Wolverine Power Marketing Coop</t>
        </is>
      </c>
      <c r="D40" t="inlineStr">
        <is>
          <t>B</t>
        </is>
      </c>
      <c r="E40" t="inlineStr">
        <is>
          <t>Energy</t>
        </is>
      </c>
      <c r="F40" t="inlineStr">
        <is>
          <t>O</t>
        </is>
      </c>
      <c r="G40" t="inlineStr">
        <is>
          <t>MI</t>
        </is>
      </c>
      <c r="H40" t="inlineStr">
        <is>
          <t>Cooperative</t>
        </is>
      </c>
      <c r="I40" t="inlineStr">
        <is>
          <t>MISO</t>
        </is>
      </c>
      <c r="J40" t="n">
        <v>0</v>
      </c>
      <c r="K40" t="n">
        <v>0</v>
      </c>
      <c r="L40" t="n">
        <v>0</v>
      </c>
      <c r="M40" t="n">
        <v>13277.4</v>
      </c>
      <c r="N40" t="n">
        <v>182433</v>
      </c>
      <c r="O40" t="n">
        <v>7</v>
      </c>
      <c r="P40" t="n">
        <v>77642.39999999999</v>
      </c>
      <c r="Q40" t="n">
        <v>1234916</v>
      </c>
      <c r="R40" t="n">
        <v>14</v>
      </c>
      <c r="S40" t="n">
        <v>0</v>
      </c>
      <c r="T40" t="n">
        <v>0</v>
      </c>
      <c r="U40" t="n">
        <v>0</v>
      </c>
      <c r="V40" t="n">
        <v>90919.8</v>
      </c>
      <c r="W40" t="n">
        <v>1417349</v>
      </c>
      <c r="X40" t="n">
        <v>21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21048</v>
      </c>
      <c r="C41" t="inlineStr">
        <is>
          <t>Wyandotte Municipal Serv Comm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MI</t>
        </is>
      </c>
      <c r="H41" t="inlineStr">
        <is>
          <t>Municipal</t>
        </is>
      </c>
      <c r="I41" t="inlineStr">
        <is>
          <t>MISO</t>
        </is>
      </c>
      <c r="J41" t="n">
        <v>12576.1</v>
      </c>
      <c r="K41" t="n">
        <v>77238</v>
      </c>
      <c r="L41" t="n">
        <v>11730</v>
      </c>
      <c r="M41" t="n">
        <v>8768.200000000001</v>
      </c>
      <c r="N41" t="n">
        <v>67781</v>
      </c>
      <c r="O41" t="n">
        <v>1124</v>
      </c>
      <c r="P41" t="n">
        <v>10296.3</v>
      </c>
      <c r="Q41" t="n">
        <v>122927</v>
      </c>
      <c r="R41" t="n">
        <v>2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31640.6</v>
      </c>
      <c r="W41" t="n">
        <v>267946</v>
      </c>
      <c r="X41" t="n">
        <v>12856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21158</v>
      </c>
      <c r="C42" t="inlineStr">
        <is>
          <t>City of Zeeland - (MI)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MI</t>
        </is>
      </c>
      <c r="H42" t="inlineStr">
        <is>
          <t>Municipal</t>
        </is>
      </c>
      <c r="I42" t="inlineStr">
        <is>
          <t>MISO</t>
        </is>
      </c>
      <c r="J42" t="n">
        <v>4856.8</v>
      </c>
      <c r="K42" t="n">
        <v>47975</v>
      </c>
      <c r="L42" t="n">
        <v>6037</v>
      </c>
      <c r="M42" t="n">
        <v>5200.4</v>
      </c>
      <c r="N42" t="n">
        <v>54045</v>
      </c>
      <c r="O42" t="n">
        <v>885</v>
      </c>
      <c r="P42" t="n">
        <v>26869.5</v>
      </c>
      <c r="Q42" t="n">
        <v>337768</v>
      </c>
      <c r="R42" t="n">
        <v>119</v>
      </c>
      <c r="S42" t="inlineStr">
        <is>
          <t>.</t>
        </is>
      </c>
      <c r="T42" t="inlineStr">
        <is>
          <t>.</t>
        </is>
      </c>
      <c r="U42" t="inlineStr">
        <is>
          <t>.</t>
        </is>
      </c>
      <c r="V42" t="n">
        <v>36926.7</v>
      </c>
      <c r="W42" t="n">
        <v>439788</v>
      </c>
      <c r="X42" t="n">
        <v>7041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38084</v>
      </c>
      <c r="C43" t="inlineStr">
        <is>
          <t>Great Lakes Energy Coop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MI</t>
        </is>
      </c>
      <c r="H43" t="inlineStr">
        <is>
          <t>Cooperative</t>
        </is>
      </c>
      <c r="I43" t="inlineStr">
        <is>
          <t>MISO</t>
        </is>
      </c>
      <c r="J43" t="n">
        <v>169510.9</v>
      </c>
      <c r="K43" t="n">
        <v>884220</v>
      </c>
      <c r="L43" t="n">
        <v>120645</v>
      </c>
      <c r="M43" t="n">
        <v>30329.7</v>
      </c>
      <c r="N43" t="n">
        <v>184901</v>
      </c>
      <c r="O43" t="n">
        <v>11315</v>
      </c>
      <c r="P43" t="n">
        <v>50799.4</v>
      </c>
      <c r="Q43" t="n">
        <v>528391</v>
      </c>
      <c r="R43" t="n">
        <v>292</v>
      </c>
      <c r="S43" t="inlineStr">
        <is>
          <t>.</t>
        </is>
      </c>
      <c r="T43" t="inlineStr">
        <is>
          <t>.</t>
        </is>
      </c>
      <c r="U43" t="inlineStr">
        <is>
          <t>.</t>
        </is>
      </c>
      <c r="V43" t="n">
        <v>250640</v>
      </c>
      <c r="W43" t="n">
        <v>1597512</v>
      </c>
      <c r="X43" t="n">
        <v>132252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56279</v>
      </c>
      <c r="C44" t="inlineStr">
        <is>
          <t>Spartan Renewable Energy, Inc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MI</t>
        </is>
      </c>
      <c r="H44" t="inlineStr">
        <is>
          <t>Retail Power Marketer</t>
        </is>
      </c>
      <c r="I44" t="inlineStr">
        <is>
          <t>MISO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12512.6</v>
      </c>
      <c r="Q44" t="n">
        <v>207926</v>
      </c>
      <c r="R44" t="n">
        <v>3</v>
      </c>
      <c r="S44" t="n">
        <v>0</v>
      </c>
      <c r="T44" t="n">
        <v>0</v>
      </c>
      <c r="U44" t="n">
        <v>0</v>
      </c>
      <c r="V44" t="n">
        <v>12512.6</v>
      </c>
      <c r="W44" t="n">
        <v>207926</v>
      </c>
      <c r="X44" t="n">
        <v>3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56496</v>
      </c>
      <c r="C45" t="inlineStr">
        <is>
          <t>UP Power Marketing, LLC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MI</t>
        </is>
      </c>
      <c r="H45" t="inlineStr">
        <is>
          <t>Retail Power Marketer</t>
        </is>
      </c>
      <c r="I45" t="inlineStr">
        <is>
          <t>MISO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1182.7</v>
      </c>
      <c r="Q45" t="n">
        <v>15929</v>
      </c>
      <c r="R45" t="n">
        <v>1</v>
      </c>
      <c r="S45" t="n">
        <v>0</v>
      </c>
      <c r="T45" t="n">
        <v>0</v>
      </c>
      <c r="U45" t="n">
        <v>0</v>
      </c>
      <c r="V45" t="n">
        <v>1182.7</v>
      </c>
      <c r="W45" t="n">
        <v>15929</v>
      </c>
      <c r="X45" t="n">
        <v>1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59579</v>
      </c>
      <c r="C46" t="inlineStr">
        <is>
          <t>Sunnova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MI</t>
        </is>
      </c>
      <c r="H46" t="inlineStr">
        <is>
          <t>Behind the Meter</t>
        </is>
      </c>
      <c r="I46" t="inlineStr">
        <is>
          <t>PJM</t>
        </is>
      </c>
      <c r="J46" t="n">
        <v>0</v>
      </c>
      <c r="K46" t="n">
        <v>0</v>
      </c>
      <c r="L46" t="n">
        <v>0</v>
      </c>
      <c r="M46" t="inlineStr">
        <is>
          <t>.</t>
        </is>
      </c>
      <c r="N46" t="inlineStr">
        <is>
          <t>.</t>
        </is>
      </c>
      <c r="O46" t="inlineStr">
        <is>
          <t>.</t>
        </is>
      </c>
      <c r="P46" t="inlineStr">
        <is>
          <t>.</t>
        </is>
      </c>
      <c r="Q46" t="inlineStr">
        <is>
          <t>.</t>
        </is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0</v>
      </c>
      <c r="W46" t="n">
        <v>0</v>
      </c>
      <c r="X46" t="n">
        <v>0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59579</v>
      </c>
      <c r="C47" t="inlineStr">
        <is>
          <t>Sunnova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MI</t>
        </is>
      </c>
      <c r="H47" t="inlineStr">
        <is>
          <t>Behind the Meter</t>
        </is>
      </c>
      <c r="I47" t="inlineStr">
        <is>
          <t>MISO</t>
        </is>
      </c>
      <c r="J47" t="n">
        <v>0</v>
      </c>
      <c r="K47" t="n">
        <v>0</v>
      </c>
      <c r="L47" t="n">
        <v>0</v>
      </c>
      <c r="M47" t="inlineStr">
        <is>
          <t>.</t>
        </is>
      </c>
      <c r="N47" t="inlineStr">
        <is>
          <t>.</t>
        </is>
      </c>
      <c r="O47" t="inlineStr">
        <is>
          <t>.</t>
        </is>
      </c>
      <c r="P47" t="inlineStr">
        <is>
          <t>.</t>
        </is>
      </c>
      <c r="Q47" t="inlineStr">
        <is>
          <t>.</t>
        </is>
      </c>
      <c r="R47" t="inlineStr">
        <is>
          <t>.</t>
        </is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0</v>
      </c>
      <c r="W47" t="n">
        <v>0</v>
      </c>
      <c r="X47" t="n">
        <v>0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59622</v>
      </c>
      <c r="C48" t="inlineStr">
        <is>
          <t>Ahana Renewables, LLC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MI</t>
        </is>
      </c>
      <c r="H48" t="inlineStr">
        <is>
          <t>Behind the Meter</t>
        </is>
      </c>
      <c r="I48" t="inlineStr">
        <is>
          <t>MISO</t>
        </is>
      </c>
      <c r="J48" t="n">
        <v>0</v>
      </c>
      <c r="K48" t="n">
        <v>0</v>
      </c>
      <c r="L48" t="n">
        <v>0</v>
      </c>
      <c r="M48" t="n">
        <v>21.3</v>
      </c>
      <c r="N48" t="n">
        <v>172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21.3</v>
      </c>
      <c r="W48" t="n">
        <v>172</v>
      </c>
      <c r="X48" t="n">
        <v>1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60631</v>
      </c>
      <c r="C49" t="inlineStr">
        <is>
          <t>Upper Michigan Energy Resources Corp.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MI</t>
        </is>
      </c>
      <c r="H49" t="inlineStr">
        <is>
          <t>Investor Owned</t>
        </is>
      </c>
      <c r="I49" t="inlineStr">
        <is>
          <t>MISO</t>
        </is>
      </c>
      <c r="J49" t="n">
        <v>33033.3</v>
      </c>
      <c r="K49" t="n">
        <v>223869</v>
      </c>
      <c r="L49" t="n">
        <v>33252</v>
      </c>
      <c r="M49" t="n">
        <v>17824</v>
      </c>
      <c r="N49" t="n">
        <v>133191</v>
      </c>
      <c r="O49" t="n">
        <v>3994</v>
      </c>
      <c r="P49" t="n">
        <v>87396.39999999999</v>
      </c>
      <c r="Q49" t="n">
        <v>1454941</v>
      </c>
      <c r="R49" t="n">
        <v>38</v>
      </c>
      <c r="S49" t="n">
        <v>0</v>
      </c>
      <c r="T49" t="n">
        <v>0</v>
      </c>
      <c r="U49" t="n">
        <v>0</v>
      </c>
      <c r="V49" t="n">
        <v>138253.7</v>
      </c>
      <c r="W49" t="n">
        <v>1812001</v>
      </c>
      <c r="X49" t="n">
        <v>37284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60631</v>
      </c>
      <c r="C50" t="inlineStr">
        <is>
          <t>Upper Michigan Energy Resources Corp.</t>
        </is>
      </c>
      <c r="D50" t="inlineStr">
        <is>
          <t>C</t>
        </is>
      </c>
      <c r="E50" t="inlineStr">
        <is>
          <t>Delivery</t>
        </is>
      </c>
      <c r="F50" t="inlineStr">
        <is>
          <t>O</t>
        </is>
      </c>
      <c r="G50" t="inlineStr">
        <is>
          <t>MI</t>
        </is>
      </c>
      <c r="H50" t="inlineStr">
        <is>
          <t>Investor Owned</t>
        </is>
      </c>
      <c r="I50" t="inlineStr">
        <is>
          <t>MISO</t>
        </is>
      </c>
      <c r="J50" t="n">
        <v>0</v>
      </c>
      <c r="K50" t="n">
        <v>0</v>
      </c>
      <c r="L50" t="n">
        <v>0</v>
      </c>
      <c r="M50" t="n">
        <v>1409.8</v>
      </c>
      <c r="N50" t="n">
        <v>44247</v>
      </c>
      <c r="O50" t="n">
        <v>57</v>
      </c>
      <c r="P50" t="n">
        <v>952.6</v>
      </c>
      <c r="Q50" t="n">
        <v>203354</v>
      </c>
      <c r="R50" t="n">
        <v>18</v>
      </c>
      <c r="S50" t="n">
        <v>0</v>
      </c>
      <c r="T50" t="n">
        <v>0</v>
      </c>
      <c r="U50" t="n">
        <v>0</v>
      </c>
      <c r="V50" t="n">
        <v>2362.4</v>
      </c>
      <c r="W50" t="n">
        <v>247601</v>
      </c>
      <c r="X50" t="n">
        <v>75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66026</v>
      </c>
      <c r="C51" t="inlineStr">
        <is>
          <t>Palmetto Solar, LLC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MI</t>
        </is>
      </c>
      <c r="H51" t="inlineStr">
        <is>
          <t>Behind the Meter</t>
        </is>
      </c>
      <c r="I51" t="inlineStr">
        <is>
          <t>MISO</t>
        </is>
      </c>
      <c r="J51" t="n">
        <v>10.3</v>
      </c>
      <c r="K51" t="n">
        <v>33</v>
      </c>
      <c r="L51" t="n">
        <v>4</v>
      </c>
      <c r="M51" t="inlineStr">
        <is>
          <t>.</t>
        </is>
      </c>
      <c r="N51" t="inlineStr">
        <is>
          <t>.</t>
        </is>
      </c>
      <c r="O51" t="inlineStr">
        <is>
          <t>.</t>
        </is>
      </c>
      <c r="P51" t="inlineStr">
        <is>
          <t>.</t>
        </is>
      </c>
      <c r="Q51" t="inlineStr">
        <is>
          <t>.</t>
        </is>
      </c>
      <c r="R51" t="inlineStr">
        <is>
          <t>.</t>
        </is>
      </c>
      <c r="S51" t="inlineStr">
        <is>
          <t>.</t>
        </is>
      </c>
      <c r="T51" t="inlineStr">
        <is>
          <t>.</t>
        </is>
      </c>
      <c r="U51" t="inlineStr">
        <is>
          <t>.</t>
        </is>
      </c>
      <c r="V51" t="n">
        <v>10.3</v>
      </c>
      <c r="W51" t="n">
        <v>33</v>
      </c>
      <c r="X51" t="n">
        <v>4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99999</v>
      </c>
      <c r="C52" t="inlineStr">
        <is>
          <t>Adjustment 2024</t>
        </is>
      </c>
      <c r="D52" t="inlineStr">
        <is>
          <t>A</t>
        </is>
      </c>
      <c r="E52" t="inlineStr">
        <is>
          <t>Bundled</t>
        </is>
      </c>
      <c r="F52" t="inlineStr">
        <is>
          <t>I</t>
        </is>
      </c>
      <c r="G52" t="inlineStr">
        <is>
          <t>MI</t>
        </is>
      </c>
      <c r="H52" t="inlineStr"/>
      <c r="I52" t="inlineStr">
        <is>
          <t>PJM</t>
        </is>
      </c>
      <c r="J52" t="n">
        <v>18580.3</v>
      </c>
      <c r="K52" t="n">
        <v>121660</v>
      </c>
      <c r="L52" t="n">
        <v>17203</v>
      </c>
      <c r="M52" t="n">
        <v>17930.6</v>
      </c>
      <c r="N52" t="n">
        <v>150161</v>
      </c>
      <c r="O52" t="n">
        <v>2982</v>
      </c>
      <c r="P52" t="n">
        <v>9317.700000000001</v>
      </c>
      <c r="Q52" t="n">
        <v>93719</v>
      </c>
      <c r="R52" t="n">
        <v>82</v>
      </c>
      <c r="S52" t="n">
        <v>0</v>
      </c>
      <c r="T52" t="n">
        <v>0</v>
      </c>
      <c r="U52" t="n">
        <v>0</v>
      </c>
      <c r="V52" t="n">
        <v>45828.6</v>
      </c>
      <c r="W52" t="n">
        <v>365540</v>
      </c>
      <c r="X52" t="n">
        <v>20267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99999</v>
      </c>
      <c r="C53" t="inlineStr">
        <is>
          <t>Adjustment 2024</t>
        </is>
      </c>
      <c r="D53" t="inlineStr">
        <is>
          <t>A</t>
        </is>
      </c>
      <c r="E53" t="inlineStr">
        <is>
          <t>Bundled</t>
        </is>
      </c>
      <c r="F53" t="inlineStr">
        <is>
          <t>I</t>
        </is>
      </c>
      <c r="G53" t="inlineStr">
        <is>
          <t>MI</t>
        </is>
      </c>
      <c r="H53" t="inlineStr"/>
      <c r="I53" t="inlineStr">
        <is>
          <t>MISO</t>
        </is>
      </c>
      <c r="J53" t="n">
        <v>69294.39999999999</v>
      </c>
      <c r="K53" t="n">
        <v>461514</v>
      </c>
      <c r="L53" t="n">
        <v>63488</v>
      </c>
      <c r="M53" t="n">
        <v>59022.4</v>
      </c>
      <c r="N53" t="n">
        <v>507146</v>
      </c>
      <c r="O53" t="n">
        <v>10187</v>
      </c>
      <c r="P53" t="n">
        <v>50832.7</v>
      </c>
      <c r="Q53" t="n">
        <v>768489</v>
      </c>
      <c r="R53" t="n">
        <v>228</v>
      </c>
      <c r="S53" t="n">
        <v>0</v>
      </c>
      <c r="T53" t="n">
        <v>0</v>
      </c>
      <c r="U53" t="n">
        <v>0</v>
      </c>
      <c r="V53" t="n">
        <v>179149.5</v>
      </c>
      <c r="W53" t="n">
        <v>1737149</v>
      </c>
      <c r="X53" t="n">
        <v>73903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99999</v>
      </c>
      <c r="C54" t="inlineStr">
        <is>
          <t>Adjustment 2024</t>
        </is>
      </c>
      <c r="D54" t="inlineStr">
        <is>
          <t>B</t>
        </is>
      </c>
      <c r="E54" t="inlineStr">
        <is>
          <t>Energy</t>
        </is>
      </c>
      <c r="F54" t="inlineStr">
        <is>
          <t>I</t>
        </is>
      </c>
      <c r="G54" t="inlineStr">
        <is>
          <t>MI</t>
        </is>
      </c>
      <c r="H54" t="inlineStr"/>
      <c r="I54" t="inlineStr">
        <is>
          <t>PJM</t>
        </is>
      </c>
      <c r="J54" t="n">
        <v>0</v>
      </c>
      <c r="K54" t="n">
        <v>0</v>
      </c>
      <c r="L54" t="n">
        <v>0</v>
      </c>
      <c r="M54" t="n">
        <v>-3023.8</v>
      </c>
      <c r="N54" t="n">
        <v>-41682</v>
      </c>
      <c r="O54" t="n">
        <v>-23</v>
      </c>
      <c r="P54" t="n">
        <v>2966.6</v>
      </c>
      <c r="Q54" t="n">
        <v>40944</v>
      </c>
      <c r="R54" t="n">
        <v>15</v>
      </c>
      <c r="S54" t="n">
        <v>0</v>
      </c>
      <c r="T54" t="n">
        <v>0</v>
      </c>
      <c r="U54" t="n">
        <v>0</v>
      </c>
      <c r="V54" t="n">
        <v>-57.2</v>
      </c>
      <c r="W54" t="n">
        <v>-738</v>
      </c>
      <c r="X54" t="n">
        <v>-8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99999</v>
      </c>
      <c r="C55" t="inlineStr">
        <is>
          <t>Adjustment 2024</t>
        </is>
      </c>
      <c r="D55" t="inlineStr">
        <is>
          <t>B</t>
        </is>
      </c>
      <c r="E55" t="inlineStr">
        <is>
          <t>Energy</t>
        </is>
      </c>
      <c r="F55" t="inlineStr">
        <is>
          <t>I</t>
        </is>
      </c>
      <c r="G55" t="inlineStr">
        <is>
          <t>MI</t>
        </is>
      </c>
      <c r="H55" t="inlineStr"/>
      <c r="I55" t="inlineStr">
        <is>
          <t>MISO</t>
        </is>
      </c>
      <c r="J55" t="n">
        <v>14.3</v>
      </c>
      <c r="K55" t="n">
        <v>145</v>
      </c>
      <c r="L55" t="n">
        <v>21</v>
      </c>
      <c r="M55" t="n">
        <v>-20269.4</v>
      </c>
      <c r="N55" t="n">
        <v>-294500</v>
      </c>
      <c r="O55" t="n">
        <v>1966</v>
      </c>
      <c r="P55" t="n">
        <v>-1059</v>
      </c>
      <c r="Q55" t="n">
        <v>-25539</v>
      </c>
      <c r="R55" t="n">
        <v>-132</v>
      </c>
      <c r="S55" t="n">
        <v>0</v>
      </c>
      <c r="T55" t="n">
        <v>0</v>
      </c>
      <c r="U55" t="n">
        <v>0</v>
      </c>
      <c r="V55" t="n">
        <v>-21314.1</v>
      </c>
      <c r="W55" t="n">
        <v>-319894</v>
      </c>
      <c r="X55" t="n">
        <v>1855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MI</t>
        </is>
      </c>
      <c r="B2">
        <f>SUMIFS('EIA-861 Sales 2024'!$Y$4:$Y$55,'EIA-861 Sales 2024'!$Z$4:$Z$55,"cost_service")</f>
        <v/>
      </c>
      <c r="C2">
        <f>SUMIFS('EIA-861 Sales 2024'!$Y$4:$Y$55,'EIA-861 Sales 2024'!$Z$4:$Z$55,"procurement")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2026-06-02T20:15:29Z</dcterms:created>
  <dcterms:modified xmlns:dcterms="http://purl.org/dc/terms/" xmlns:xsi="http://www.w3.org/2001/XMLSchema-instance" xsi:type="dcterms:W3CDTF">2026-06-02T20:15:29Z</dcterms:modified>
</cp:coreProperties>
</file>